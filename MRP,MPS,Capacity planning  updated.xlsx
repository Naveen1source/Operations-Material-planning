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\OneDrive\Desktop\"/>
    </mc:Choice>
  </mc:AlternateContent>
  <xr:revisionPtr revIDLastSave="0" documentId="8_{76F78870-E5E7-4794-B568-8BB5959C8250}" xr6:coauthVersionLast="47" xr6:coauthVersionMax="47" xr10:uidLastSave="{00000000-0000-0000-0000-000000000000}"/>
  <bookViews>
    <workbookView xWindow="-108" yWindow="-108" windowWidth="23256" windowHeight="13176" xr2:uid="{40920D6E-2CD3-4583-BC72-39802C589BBC}"/>
  </bookViews>
  <sheets>
    <sheet name="MRP, MPS, Capacity Bills AN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5" i="1" l="1"/>
  <c r="AB83" i="1"/>
  <c r="AC89" i="1"/>
  <c r="AB73" i="1"/>
  <c r="AB85" i="1" s="1"/>
  <c r="AB74" i="1"/>
  <c r="AB89" i="1" s="1"/>
  <c r="AB75" i="1"/>
  <c r="AB76" i="1"/>
  <c r="AB103" i="1" s="1"/>
  <c r="AB77" i="1"/>
  <c r="AB108" i="1" s="1"/>
  <c r="AB78" i="1"/>
  <c r="AB113" i="1" s="1"/>
  <c r="AB79" i="1"/>
  <c r="AB84" i="1"/>
  <c r="AB91" i="1"/>
  <c r="AB95" i="1"/>
  <c r="AB96" i="1"/>
  <c r="AB97" i="1"/>
  <c r="AB101" i="1"/>
  <c r="AB102" i="1"/>
  <c r="AB109" i="1"/>
  <c r="AB114" i="1"/>
  <c r="AB115" i="1"/>
  <c r="AB119" i="1"/>
  <c r="AB120" i="1"/>
  <c r="AB121" i="1"/>
  <c r="AC10" i="1"/>
  <c r="AC9" i="1"/>
  <c r="AK59" i="1" s="1"/>
  <c r="AC7" i="1"/>
  <c r="AH86" i="1"/>
  <c r="AH87" i="1"/>
  <c r="AH88" i="1"/>
  <c r="AH92" i="1"/>
  <c r="AH93" i="1"/>
  <c r="AH94" i="1"/>
  <c r="AH98" i="1"/>
  <c r="AH99" i="1"/>
  <c r="AH100" i="1"/>
  <c r="AH104" i="1"/>
  <c r="AH105" i="1"/>
  <c r="AH106" i="1"/>
  <c r="AH110" i="1"/>
  <c r="AH111" i="1"/>
  <c r="AH112" i="1"/>
  <c r="AH116" i="1"/>
  <c r="AH117" i="1"/>
  <c r="AH118" i="1"/>
  <c r="AA74" i="1"/>
  <c r="AA75" i="1" s="1"/>
  <c r="AA76" i="1" s="1"/>
  <c r="AA77" i="1" s="1"/>
  <c r="AA78" i="1" s="1"/>
  <c r="AA79" i="1" s="1"/>
  <c r="AA64" i="1"/>
  <c r="AA65" i="1" s="1"/>
  <c r="AA66" i="1" s="1"/>
  <c r="AA67" i="1" s="1"/>
  <c r="AA68" i="1" s="1"/>
  <c r="AA69" i="1" s="1"/>
  <c r="AA46" i="1"/>
  <c r="AA47" i="1" s="1"/>
  <c r="AA48" i="1" s="1"/>
  <c r="AA49" i="1" s="1"/>
  <c r="AA50" i="1" s="1"/>
  <c r="AA51" i="1" s="1"/>
  <c r="AD41" i="1"/>
  <c r="AE41" i="1" s="1"/>
  <c r="AF41" i="1" s="1"/>
  <c r="AH41" i="1" s="1"/>
  <c r="AD40" i="1"/>
  <c r="AE40" i="1" s="1"/>
  <c r="AF40" i="1" s="1"/>
  <c r="AH40" i="1" s="1"/>
  <c r="A40" i="1"/>
  <c r="A41" i="1" s="1"/>
  <c r="A42" i="1" s="1"/>
  <c r="AD39" i="1"/>
  <c r="AE39" i="1" s="1"/>
  <c r="AF39" i="1" s="1"/>
  <c r="AH39" i="1" s="1"/>
  <c r="AD38" i="1"/>
  <c r="AE38" i="1" s="1"/>
  <c r="AF38" i="1" s="1"/>
  <c r="AH38" i="1" s="1"/>
  <c r="AD37" i="1"/>
  <c r="AE37" i="1" s="1"/>
  <c r="AF37" i="1" s="1"/>
  <c r="AH37" i="1" s="1"/>
  <c r="AD36" i="1"/>
  <c r="AE36" i="1" s="1"/>
  <c r="AF36" i="1" s="1"/>
  <c r="AH36" i="1" s="1"/>
  <c r="AD35" i="1"/>
  <c r="AE35" i="1" s="1"/>
  <c r="AF35" i="1" s="1"/>
  <c r="AH35" i="1" s="1"/>
  <c r="G35" i="1"/>
  <c r="F35" i="1"/>
  <c r="E35" i="1"/>
  <c r="D35" i="1"/>
  <c r="C35" i="1"/>
  <c r="G34" i="1"/>
  <c r="F34" i="1"/>
  <c r="E34" i="1"/>
  <c r="D34" i="1"/>
  <c r="C34" i="1"/>
  <c r="T32" i="1"/>
  <c r="T33" i="1" s="1"/>
  <c r="AE8" i="1" s="1"/>
  <c r="S32" i="1"/>
  <c r="S33" i="1" s="1"/>
  <c r="AD8" i="1" s="1"/>
  <c r="AL58" i="1" s="1"/>
  <c r="G30" i="1"/>
  <c r="F30" i="1"/>
  <c r="E30" i="1"/>
  <c r="D30" i="1"/>
  <c r="C30" i="1"/>
  <c r="G29" i="1"/>
  <c r="F40" i="1" s="1"/>
  <c r="V28" i="1" s="1"/>
  <c r="F29" i="1"/>
  <c r="E40" i="1" s="1"/>
  <c r="U28" i="1" s="1"/>
  <c r="E29" i="1"/>
  <c r="D40" i="1" s="1"/>
  <c r="T28" i="1" s="1"/>
  <c r="D29" i="1"/>
  <c r="C40" i="1" s="1"/>
  <c r="S28" i="1" s="1"/>
  <c r="C29" i="1"/>
  <c r="B40" i="1" s="1"/>
  <c r="G28" i="1"/>
  <c r="F28" i="1"/>
  <c r="E28" i="1"/>
  <c r="D28" i="1"/>
  <c r="C28" i="1"/>
  <c r="AB25" i="1"/>
  <c r="AA25" i="1"/>
  <c r="AA35" i="1" s="1"/>
  <c r="AE24" i="1"/>
  <c r="AD24" i="1"/>
  <c r="AC24" i="1"/>
  <c r="AB24" i="1"/>
  <c r="AA24" i="1"/>
  <c r="AA34" i="1" s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V21" i="1"/>
  <c r="U21" i="1"/>
  <c r="T21" i="1"/>
  <c r="AD7" i="1" s="1"/>
  <c r="T20" i="1"/>
  <c r="S21" i="1" s="1"/>
  <c r="S20" i="1"/>
  <c r="R21" i="1" s="1"/>
  <c r="AB7" i="1" s="1"/>
  <c r="G18" i="1"/>
  <c r="F18" i="1"/>
  <c r="E18" i="1"/>
  <c r="D18" i="1"/>
  <c r="C18" i="1"/>
  <c r="G17" i="1"/>
  <c r="F17" i="1"/>
  <c r="E17" i="1"/>
  <c r="D17" i="1"/>
  <c r="C17" i="1"/>
  <c r="AA16" i="1"/>
  <c r="AA26" i="1" s="1"/>
  <c r="AA36" i="1" s="1"/>
  <c r="G13" i="1"/>
  <c r="F13" i="1"/>
  <c r="E13" i="1"/>
  <c r="D13" i="1"/>
  <c r="C13" i="1"/>
  <c r="B39" i="1" s="1"/>
  <c r="G12" i="1"/>
  <c r="F12" i="1"/>
  <c r="E12" i="1"/>
  <c r="D12" i="1"/>
  <c r="C12" i="1"/>
  <c r="AG10" i="1"/>
  <c r="AO60" i="1" s="1"/>
  <c r="AG9" i="1"/>
  <c r="AO59" i="1" s="1"/>
  <c r="AE9" i="1"/>
  <c r="AM59" i="1" s="1"/>
  <c r="AG8" i="1"/>
  <c r="AO58" i="1" s="1"/>
  <c r="AF8" i="1"/>
  <c r="AN58" i="1" s="1"/>
  <c r="AC8" i="1"/>
  <c r="AK58" i="1" s="1"/>
  <c r="AG7" i="1"/>
  <c r="AF7" i="1"/>
  <c r="AN57" i="1" s="1"/>
  <c r="AE7" i="1"/>
  <c r="AM57" i="1" s="1"/>
  <c r="AB107" i="1" l="1"/>
  <c r="AB90" i="1"/>
  <c r="F41" i="1"/>
  <c r="W4" i="1" s="1"/>
  <c r="D39" i="1"/>
  <c r="U16" i="1" s="1"/>
  <c r="AG49" i="1"/>
  <c r="B42" i="1"/>
  <c r="F39" i="1"/>
  <c r="W16" i="1" s="1"/>
  <c r="D41" i="1"/>
  <c r="U4" i="1" s="1"/>
  <c r="AG50" i="1"/>
  <c r="C39" i="1"/>
  <c r="T16" i="1" s="1"/>
  <c r="B41" i="1"/>
  <c r="C42" i="1"/>
  <c r="T40" i="1" s="1"/>
  <c r="C41" i="1"/>
  <c r="T4" i="1" s="1"/>
  <c r="E39" i="1"/>
  <c r="V16" i="1" s="1"/>
  <c r="E42" i="1"/>
  <c r="V40" i="1" s="1"/>
  <c r="E41" i="1"/>
  <c r="V4" i="1" s="1"/>
  <c r="D42" i="1"/>
  <c r="U40" i="1" s="1"/>
  <c r="F42" i="1"/>
  <c r="W40" i="1" s="1"/>
  <c r="AG78" i="1"/>
  <c r="AG113" i="1" s="1"/>
  <c r="AM58" i="1"/>
  <c r="V31" i="1"/>
  <c r="S4" i="1"/>
  <c r="G40" i="1"/>
  <c r="R28" i="1"/>
  <c r="R30" i="1" s="1"/>
  <c r="S30" i="1" s="1"/>
  <c r="T30" i="1" s="1"/>
  <c r="U30" i="1" s="1"/>
  <c r="V30" i="1" s="1"/>
  <c r="X30" i="1" s="1"/>
  <c r="AG77" i="1"/>
  <c r="AG57" i="1"/>
  <c r="S40" i="1"/>
  <c r="AK57" i="1"/>
  <c r="S16" i="1"/>
  <c r="S31" i="1"/>
  <c r="T31" i="1"/>
  <c r="AG48" i="1"/>
  <c r="AO57" i="1"/>
  <c r="AG47" i="1"/>
  <c r="AA17" i="1"/>
  <c r="AG46" i="1"/>
  <c r="AG58" i="1"/>
  <c r="AG45" i="1"/>
  <c r="AG51" i="1"/>
  <c r="AL57" i="1"/>
  <c r="G39" i="1" l="1"/>
  <c r="G41" i="1"/>
  <c r="G42" i="1"/>
  <c r="AG68" i="1"/>
  <c r="AA18" i="1"/>
  <c r="AA27" i="1"/>
  <c r="AA37" i="1" s="1"/>
  <c r="AG75" i="1"/>
  <c r="AG55" i="1"/>
  <c r="AG53" i="1"/>
  <c r="AG73" i="1"/>
  <c r="AG79" i="1"/>
  <c r="AG59" i="1"/>
  <c r="AG74" i="1"/>
  <c r="AG64" i="1" s="1"/>
  <c r="AG54" i="1"/>
  <c r="S43" i="1"/>
  <c r="S44" i="1" s="1"/>
  <c r="R45" i="1" s="1"/>
  <c r="AB10" i="1" s="1"/>
  <c r="AG67" i="1"/>
  <c r="AG101" i="1"/>
  <c r="AG107" i="1"/>
  <c r="AG76" i="1"/>
  <c r="AG66" i="1" s="1"/>
  <c r="AG56" i="1"/>
  <c r="S19" i="1"/>
  <c r="S18" i="1"/>
  <c r="S7" i="1"/>
  <c r="S8" i="1" s="1"/>
  <c r="R9" i="1" s="1"/>
  <c r="AB9" i="1" s="1"/>
  <c r="S42" i="1" l="1"/>
  <c r="T18" i="1"/>
  <c r="T19" i="1"/>
  <c r="AG83" i="1"/>
  <c r="AG63" i="1"/>
  <c r="AB51" i="1"/>
  <c r="AB45" i="1"/>
  <c r="AB50" i="1"/>
  <c r="AB46" i="1"/>
  <c r="AB48" i="1"/>
  <c r="AB47" i="1"/>
  <c r="AB49" i="1"/>
  <c r="AG119" i="1"/>
  <c r="AG69" i="1"/>
  <c r="AG89" i="1"/>
  <c r="S6" i="1"/>
  <c r="AG95" i="1"/>
  <c r="AG65" i="1"/>
  <c r="AA28" i="1"/>
  <c r="AA38" i="1" s="1"/>
  <c r="AA19" i="1"/>
  <c r="AB55" i="1" l="1"/>
  <c r="AB58" i="1"/>
  <c r="AB59" i="1"/>
  <c r="AA20" i="1"/>
  <c r="AA29" i="1"/>
  <c r="AA39" i="1" s="1"/>
  <c r="T43" i="1"/>
  <c r="T44" i="1" s="1"/>
  <c r="S45" i="1" s="1"/>
  <c r="AB53" i="1"/>
  <c r="AB57" i="1"/>
  <c r="AO56" i="1"/>
  <c r="AB56" i="1"/>
  <c r="T6" i="1"/>
  <c r="T7" i="1"/>
  <c r="AB54" i="1"/>
  <c r="U18" i="1"/>
  <c r="U19" i="1"/>
  <c r="AB63" i="1" l="1"/>
  <c r="AB68" i="1"/>
  <c r="U7" i="1"/>
  <c r="U8" i="1" s="1"/>
  <c r="T9" i="1" s="1"/>
  <c r="AD9" i="1" s="1"/>
  <c r="AB65" i="1"/>
  <c r="AB66" i="1"/>
  <c r="T42" i="1"/>
  <c r="AA21" i="1"/>
  <c r="AA31" i="1" s="1"/>
  <c r="AA41" i="1" s="1"/>
  <c r="AA30" i="1"/>
  <c r="AA40" i="1" s="1"/>
  <c r="V18" i="1"/>
  <c r="V19" i="1"/>
  <c r="AB67" i="1"/>
  <c r="AB69" i="1"/>
  <c r="AB64" i="1"/>
  <c r="AK60" i="1"/>
  <c r="AC47" i="1"/>
  <c r="AC48" i="1"/>
  <c r="AC46" i="1"/>
  <c r="AC51" i="1"/>
  <c r="AC49" i="1"/>
  <c r="AC50" i="1"/>
  <c r="AC45" i="1"/>
  <c r="AB124" i="1" l="1"/>
  <c r="AB125" i="1"/>
  <c r="AC78" i="1"/>
  <c r="AC58" i="1"/>
  <c r="U43" i="1"/>
  <c r="U44" i="1" s="1"/>
  <c r="T45" i="1" s="1"/>
  <c r="AD10" i="1" s="1"/>
  <c r="AL60" i="1" s="1"/>
  <c r="AL59" i="1"/>
  <c r="AC57" i="1"/>
  <c r="AC77" i="1"/>
  <c r="AC79" i="1"/>
  <c r="AC59" i="1"/>
  <c r="U6" i="1"/>
  <c r="AC74" i="1"/>
  <c r="AC64" i="1" s="1"/>
  <c r="AC54" i="1"/>
  <c r="AC56" i="1"/>
  <c r="AC76" i="1"/>
  <c r="AC66" i="1" s="1"/>
  <c r="AC55" i="1"/>
  <c r="AC75" i="1"/>
  <c r="W18" i="1"/>
  <c r="X19" i="1" s="1"/>
  <c r="W19" i="1"/>
  <c r="AC53" i="1"/>
  <c r="AC73" i="1"/>
  <c r="AD49" i="1" l="1"/>
  <c r="AD51" i="1"/>
  <c r="AD79" i="1" s="1"/>
  <c r="AD45" i="1"/>
  <c r="AD73" i="1" s="1"/>
  <c r="V6" i="1"/>
  <c r="V7" i="1"/>
  <c r="AD57" i="1"/>
  <c r="AD77" i="1"/>
  <c r="AC101" i="1"/>
  <c r="AC107" i="1"/>
  <c r="AC67" i="1"/>
  <c r="AD46" i="1"/>
  <c r="U42" i="1"/>
  <c r="AD50" i="1"/>
  <c r="AC95" i="1"/>
  <c r="AC65" i="1"/>
  <c r="AD47" i="1"/>
  <c r="AC113" i="1"/>
  <c r="AC68" i="1"/>
  <c r="AC63" i="1"/>
  <c r="AC83" i="1"/>
  <c r="AC119" i="1"/>
  <c r="AC69" i="1"/>
  <c r="AD48" i="1"/>
  <c r="AD53" i="1" l="1"/>
  <c r="AD59" i="1"/>
  <c r="AD63" i="1"/>
  <c r="AD83" i="1"/>
  <c r="AD85" i="1" s="1"/>
  <c r="AD55" i="1"/>
  <c r="AD75" i="1"/>
  <c r="AC96" i="1"/>
  <c r="AC97" i="1"/>
  <c r="AC121" i="1"/>
  <c r="AC120" i="1"/>
  <c r="AD58" i="1"/>
  <c r="AD78" i="1"/>
  <c r="AC108" i="1"/>
  <c r="AC109" i="1"/>
  <c r="AC84" i="1"/>
  <c r="V43" i="1"/>
  <c r="V44" i="1" s="1"/>
  <c r="U45" i="1" s="1"/>
  <c r="AE10" i="1" s="1"/>
  <c r="AC102" i="1"/>
  <c r="AC103" i="1"/>
  <c r="AC114" i="1"/>
  <c r="AC115" i="1"/>
  <c r="AD56" i="1"/>
  <c r="AD76" i="1"/>
  <c r="AD66" i="1" s="1"/>
  <c r="W6" i="1"/>
  <c r="W8" i="1"/>
  <c r="V9" i="1" s="1"/>
  <c r="AF9" i="1" s="1"/>
  <c r="W7" i="1"/>
  <c r="AC91" i="1"/>
  <c r="AC90" i="1"/>
  <c r="AD119" i="1"/>
  <c r="AD69" i="1"/>
  <c r="AD89" i="1"/>
  <c r="AD90" i="1" s="1"/>
  <c r="AK56" i="1"/>
  <c r="AD74" i="1"/>
  <c r="AD64" i="1" s="1"/>
  <c r="AD54" i="1"/>
  <c r="AD101" i="1"/>
  <c r="AD67" i="1"/>
  <c r="AD107" i="1"/>
  <c r="AD108" i="1" s="1"/>
  <c r="AD91" i="1" l="1"/>
  <c r="AD109" i="1"/>
  <c r="AM60" i="1"/>
  <c r="AE50" i="1"/>
  <c r="AE51" i="1"/>
  <c r="AE48" i="1"/>
  <c r="AE47" i="1"/>
  <c r="AE49" i="1"/>
  <c r="AE45" i="1"/>
  <c r="AE46" i="1"/>
  <c r="AC124" i="1"/>
  <c r="AK54" i="1" s="1"/>
  <c r="AD113" i="1"/>
  <c r="AD68" i="1"/>
  <c r="V42" i="1"/>
  <c r="AN59" i="1"/>
  <c r="AD84" i="1"/>
  <c r="AD65" i="1"/>
  <c r="AL56" i="1" s="1"/>
  <c r="AD95" i="1"/>
  <c r="AC125" i="1"/>
  <c r="AK55" i="1" s="1"/>
  <c r="AD103" i="1"/>
  <c r="AD121" i="1"/>
  <c r="AD102" i="1"/>
  <c r="AD120" i="1"/>
  <c r="AE77" i="1" l="1"/>
  <c r="AE57" i="1"/>
  <c r="AE75" i="1"/>
  <c r="AE55" i="1"/>
  <c r="AE56" i="1"/>
  <c r="AE76" i="1"/>
  <c r="AE66" i="1" s="1"/>
  <c r="AD97" i="1"/>
  <c r="AD96" i="1"/>
  <c r="AE79" i="1"/>
  <c r="AE59" i="1"/>
  <c r="AE73" i="1"/>
  <c r="AE53" i="1"/>
  <c r="W43" i="1"/>
  <c r="W44" i="1" s="1"/>
  <c r="V45" i="1" s="1"/>
  <c r="AF10" i="1" s="1"/>
  <c r="AD114" i="1"/>
  <c r="AD115" i="1"/>
  <c r="AE58" i="1"/>
  <c r="AE78" i="1"/>
  <c r="AK61" i="1"/>
  <c r="AJ63" i="1" s="1"/>
  <c r="AE74" i="1"/>
  <c r="AE64" i="1" s="1"/>
  <c r="AE54" i="1"/>
  <c r="AD125" i="1" l="1"/>
  <c r="AL55" i="1" s="1"/>
  <c r="AE113" i="1"/>
  <c r="AE68" i="1"/>
  <c r="W42" i="1"/>
  <c r="AE119" i="1"/>
  <c r="AE69" i="1"/>
  <c r="AE89" i="1"/>
  <c r="AE65" i="1"/>
  <c r="AE95" i="1"/>
  <c r="AE83" i="1"/>
  <c r="AE63" i="1"/>
  <c r="AN60" i="1"/>
  <c r="AF48" i="1"/>
  <c r="AF45" i="1"/>
  <c r="AF46" i="1"/>
  <c r="AF49" i="1"/>
  <c r="AF47" i="1"/>
  <c r="AF51" i="1"/>
  <c r="AF50" i="1"/>
  <c r="AD124" i="1"/>
  <c r="AL54" i="1" s="1"/>
  <c r="AE107" i="1"/>
  <c r="AE67" i="1"/>
  <c r="AE101" i="1"/>
  <c r="AL61" i="1" l="1"/>
  <c r="AF54" i="1"/>
  <c r="AF74" i="1"/>
  <c r="AF64" i="1" s="1"/>
  <c r="AE90" i="1"/>
  <c r="AE91" i="1"/>
  <c r="AF73" i="1"/>
  <c r="AF53" i="1"/>
  <c r="AE109" i="1"/>
  <c r="AE108" i="1"/>
  <c r="AF56" i="1"/>
  <c r="AF76" i="1"/>
  <c r="AF66" i="1" s="1"/>
  <c r="AE121" i="1"/>
  <c r="AE120" i="1"/>
  <c r="AF58" i="1"/>
  <c r="AF78" i="1"/>
  <c r="AM56" i="1"/>
  <c r="AE102" i="1"/>
  <c r="AE103" i="1"/>
  <c r="AF79" i="1"/>
  <c r="AF59" i="1"/>
  <c r="AE84" i="1"/>
  <c r="AE85" i="1"/>
  <c r="AE114" i="1"/>
  <c r="AE115" i="1"/>
  <c r="AF77" i="1"/>
  <c r="AF57" i="1"/>
  <c r="AF75" i="1"/>
  <c r="AF55" i="1"/>
  <c r="AE96" i="1"/>
  <c r="AE97" i="1"/>
  <c r="AE124" i="1" l="1"/>
  <c r="AM54" i="1" s="1"/>
  <c r="AE125" i="1"/>
  <c r="AM55" i="1" s="1"/>
  <c r="AF67" i="1"/>
  <c r="AF101" i="1"/>
  <c r="AH101" i="1" s="1"/>
  <c r="AF107" i="1"/>
  <c r="AH107" i="1" s="1"/>
  <c r="AF113" i="1"/>
  <c r="AH113" i="1" s="1"/>
  <c r="AF68" i="1"/>
  <c r="AF95" i="1"/>
  <c r="AH95" i="1" s="1"/>
  <c r="AF65" i="1"/>
  <c r="AF83" i="1"/>
  <c r="AH83" i="1" s="1"/>
  <c r="AF63" i="1"/>
  <c r="AF69" i="1"/>
  <c r="AF89" i="1"/>
  <c r="AH89" i="1" s="1"/>
  <c r="AF119" i="1"/>
  <c r="AH119" i="1" s="1"/>
  <c r="AM61" i="1" l="1"/>
  <c r="AN56" i="1"/>
  <c r="AG97" i="1"/>
  <c r="AG96" i="1"/>
  <c r="AF97" i="1"/>
  <c r="AF96" i="1"/>
  <c r="AG103" i="1"/>
  <c r="AG102" i="1"/>
  <c r="AF103" i="1"/>
  <c r="AF102" i="1"/>
  <c r="AG120" i="1"/>
  <c r="AG121" i="1"/>
  <c r="AF121" i="1"/>
  <c r="AF120" i="1"/>
  <c r="AG115" i="1"/>
  <c r="AG114" i="1"/>
  <c r="AF114" i="1"/>
  <c r="AF115" i="1"/>
  <c r="AG84" i="1"/>
  <c r="AG85" i="1"/>
  <c r="AF85" i="1"/>
  <c r="AF84" i="1"/>
  <c r="AG90" i="1"/>
  <c r="AG91" i="1"/>
  <c r="AF91" i="1"/>
  <c r="AF90" i="1"/>
  <c r="AG108" i="1"/>
  <c r="AG109" i="1"/>
  <c r="AF109" i="1"/>
  <c r="AF108" i="1"/>
  <c r="AH91" i="1" l="1"/>
  <c r="AH90" i="1"/>
  <c r="AH115" i="1"/>
  <c r="AH102" i="1"/>
  <c r="AH85" i="1"/>
  <c r="AH114" i="1"/>
  <c r="AH96" i="1"/>
  <c r="AH109" i="1"/>
  <c r="AH121" i="1"/>
  <c r="AH108" i="1"/>
  <c r="AH84" i="1"/>
  <c r="AH120" i="1"/>
  <c r="AH97" i="1"/>
  <c r="AH103" i="1"/>
  <c r="AG125" i="1"/>
  <c r="AO55" i="1" s="1"/>
  <c r="AF125" i="1"/>
  <c r="AN55" i="1" s="1"/>
  <c r="AF124" i="1"/>
  <c r="AN54" i="1" s="1"/>
  <c r="AG124" i="1"/>
  <c r="AO54" i="1" s="1"/>
  <c r="AO61" i="1" l="1"/>
  <c r="AN61" i="1"/>
</calcChain>
</file>

<file path=xl/sharedStrings.xml><?xml version="1.0" encoding="utf-8"?>
<sst xmlns="http://schemas.openxmlformats.org/spreadsheetml/2006/main" count="222" uniqueCount="90">
  <si>
    <t>Week</t>
  </si>
  <si>
    <t>MRP Product</t>
  </si>
  <si>
    <t>MRP Subproduct</t>
  </si>
  <si>
    <t>Product</t>
  </si>
  <si>
    <t>Product 1 MRP</t>
  </si>
  <si>
    <t xml:space="preserve">Week </t>
  </si>
  <si>
    <t>Subproduct 3</t>
  </si>
  <si>
    <t xml:space="preserve">Quantity </t>
  </si>
  <si>
    <t>Gross Requirements</t>
  </si>
  <si>
    <t>MPS</t>
  </si>
  <si>
    <t>Scheduled Recipts</t>
  </si>
  <si>
    <t>week</t>
  </si>
  <si>
    <t>Product 1</t>
  </si>
  <si>
    <t>PAB/200</t>
  </si>
  <si>
    <t>Subproduct</t>
  </si>
  <si>
    <t>Scheduled Receipts</t>
  </si>
  <si>
    <t>Net Requirements</t>
  </si>
  <si>
    <t>Projected on hand: 0</t>
  </si>
  <si>
    <t>Planned Order Reciept</t>
  </si>
  <si>
    <t>Planned Order Release</t>
  </si>
  <si>
    <t>Planned-order receipts</t>
  </si>
  <si>
    <t>Q</t>
  </si>
  <si>
    <t>2 fixed periods</t>
  </si>
  <si>
    <t>Quanitity</t>
  </si>
  <si>
    <t>Planned-order releases</t>
  </si>
  <si>
    <t>LT</t>
  </si>
  <si>
    <t>Subproduct 4</t>
  </si>
  <si>
    <t>SS</t>
  </si>
  <si>
    <t>Capacity Bills</t>
  </si>
  <si>
    <t>Subproduct 1</t>
  </si>
  <si>
    <t>Product 2 MRP</t>
  </si>
  <si>
    <t>Processing Times</t>
  </si>
  <si>
    <t>Station</t>
  </si>
  <si>
    <t>Sub-Product 1</t>
  </si>
  <si>
    <t>Sub-Product 2</t>
  </si>
  <si>
    <t>Sub-Product 3</t>
  </si>
  <si>
    <t>Sub-Product 4</t>
  </si>
  <si>
    <t>Product 2</t>
  </si>
  <si>
    <t>PAB/450</t>
  </si>
  <si>
    <t>Excess</t>
  </si>
  <si>
    <t>Product 3</t>
  </si>
  <si>
    <t>Setup times</t>
  </si>
  <si>
    <t>Product 3 MRP</t>
  </si>
  <si>
    <t>Beginning Inventory</t>
  </si>
  <si>
    <t>Product 4</t>
  </si>
  <si>
    <t>Subproduct 2</t>
  </si>
  <si>
    <t>PAB/150</t>
  </si>
  <si>
    <t>Cost/unit</t>
  </si>
  <si>
    <t>Subporduct 1</t>
  </si>
  <si>
    <t>Product 5</t>
  </si>
  <si>
    <t>Downtime</t>
  </si>
  <si>
    <t>Subporduct 2</t>
  </si>
  <si>
    <t>Time Between Failures</t>
  </si>
  <si>
    <t>Repair Time</t>
  </si>
  <si>
    <t>Failures/week</t>
  </si>
  <si>
    <t>Downtime per week</t>
  </si>
  <si>
    <t>Available Hours</t>
  </si>
  <si>
    <t>Number Machines</t>
  </si>
  <si>
    <t>Subporduct 3</t>
  </si>
  <si>
    <t>Product 4 MRP</t>
  </si>
  <si>
    <t>Subporduct 4</t>
  </si>
  <si>
    <t>Undertime Cost</t>
  </si>
  <si>
    <t>$/min</t>
  </si>
  <si>
    <t>Subproducts</t>
  </si>
  <si>
    <t>Buy Machine Cost</t>
  </si>
  <si>
    <t>$/machine</t>
  </si>
  <si>
    <t>Resale Machine cost</t>
  </si>
  <si>
    <t>/machine</t>
  </si>
  <si>
    <t>Product 5 MRP</t>
  </si>
  <si>
    <t>L4L</t>
  </si>
  <si>
    <t>Check capacity planning</t>
  </si>
  <si>
    <t>Machine Buy</t>
  </si>
  <si>
    <t>Resale Machine</t>
  </si>
  <si>
    <t>Undertime</t>
  </si>
  <si>
    <t>Total</t>
  </si>
  <si>
    <t>Total Cost for 0-5 Weeks</t>
  </si>
  <si>
    <t>Method: buy and sell machines to reduce undertime cost</t>
  </si>
  <si>
    <t>Station 1</t>
  </si>
  <si>
    <t>Machines Needed</t>
  </si>
  <si>
    <t>Machines Sold</t>
  </si>
  <si>
    <t>Machines Bought</t>
  </si>
  <si>
    <t>Station 2</t>
  </si>
  <si>
    <t>Station 3</t>
  </si>
  <si>
    <t>Station 4</t>
  </si>
  <si>
    <t>Station 5</t>
  </si>
  <si>
    <t>Station 6</t>
  </si>
  <si>
    <t>Station 7</t>
  </si>
  <si>
    <t>Machines Bought Total</t>
  </si>
  <si>
    <t>Resale Machine Cost</t>
  </si>
  <si>
    <t>PAB/650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</si>
</sst>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0" borderId="4" xfId="0" applyBorder="1"/>
    <xf numFmtId="0" fontId="0" fillId="0" borderId="5" xfId="0" applyBorder="1"/>
    <xf numFmtId="0" fontId="0" fillId="4" borderId="0" xfId="0" applyFill="1"/>
    <xf numFmtId="0" fontId="2" fillId="5" borderId="1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6" borderId="1" xfId="0" applyFont="1" applyFill="1" applyBorder="1"/>
    <xf numFmtId="0" fontId="3" fillId="0" borderId="5" xfId="0" applyFont="1" applyBorder="1"/>
    <xf numFmtId="0" fontId="3" fillId="0" borderId="0" xfId="0" applyFont="1"/>
    <xf numFmtId="0" fontId="0" fillId="0" borderId="4" xfId="0" applyBorder="1" applyAlignment="1">
      <alignment horizontal="right"/>
    </xf>
    <xf numFmtId="0" fontId="4" fillId="0" borderId="5" xfId="0" applyFont="1" applyBorder="1"/>
    <xf numFmtId="0" fontId="4" fillId="0" borderId="0" xfId="0" applyFont="1"/>
    <xf numFmtId="0" fontId="4" fillId="0" borderId="4" xfId="0" applyFont="1" applyBorder="1"/>
    <xf numFmtId="164" fontId="0" fillId="0" borderId="0" xfId="0" applyNumberFormat="1"/>
    <xf numFmtId="0" fontId="0" fillId="4" borderId="7" xfId="0" applyFill="1" applyBorder="1"/>
    <xf numFmtId="0" fontId="0" fillId="7" borderId="0" xfId="0" applyFill="1"/>
    <xf numFmtId="165" fontId="0" fillId="0" borderId="0" xfId="1" applyFont="1" applyFill="1" applyBorder="1"/>
    <xf numFmtId="0" fontId="2" fillId="0" borderId="0" xfId="0" applyFont="1"/>
    <xf numFmtId="165" fontId="0" fillId="0" borderId="0" xfId="1" applyFont="1" applyBorder="1"/>
    <xf numFmtId="165" fontId="0" fillId="0" borderId="4" xfId="1" applyFont="1" applyBorder="1"/>
    <xf numFmtId="165" fontId="0" fillId="8" borderId="7" xfId="1" applyFont="1" applyFill="1" applyBorder="1"/>
    <xf numFmtId="0" fontId="0" fillId="0" borderId="0" xfId="0" applyAlignment="1">
      <alignment horizontal="center" vertical="center"/>
    </xf>
    <xf numFmtId="0" fontId="0" fillId="0" borderId="0" xfId="0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9CEC2-2CEC-4F9D-A089-7CCAA35E9C8B}">
  <dimension ref="A1:AO125"/>
  <sheetViews>
    <sheetView tabSelected="1" topLeftCell="S62" zoomScale="70" zoomScaleNormal="70" workbookViewId="0">
      <selection activeCell="AB85" sqref="AB85"/>
    </sheetView>
  </sheetViews>
  <sheetFormatPr defaultColWidth="10.6640625" defaultRowHeight="14.4" x14ac:dyDescent="0.3"/>
  <cols>
    <col min="1" max="1" width="15.88671875" customWidth="1"/>
    <col min="4" max="7" width="10.77734375" bestFit="1" customWidth="1"/>
    <col min="9" max="9" width="18.44140625" bestFit="1" customWidth="1"/>
    <col min="10" max="10" width="20" customWidth="1"/>
    <col min="11" max="15" width="10.77734375" bestFit="1" customWidth="1"/>
    <col min="17" max="17" width="18.44140625" bestFit="1" customWidth="1"/>
    <col min="18" max="24" width="10.77734375" bestFit="1" customWidth="1"/>
    <col min="27" max="27" width="25.77734375" bestFit="1" customWidth="1"/>
    <col min="28" max="28" width="17.109375" customWidth="1"/>
    <col min="29" max="29" width="10.77734375" bestFit="1" customWidth="1"/>
    <col min="30" max="30" width="18.5546875" customWidth="1"/>
    <col min="31" max="34" width="11.109375" bestFit="1" customWidth="1"/>
    <col min="35" max="35" width="22.6640625" customWidth="1"/>
    <col min="36" max="36" width="14.6640625" bestFit="1" customWidth="1"/>
    <col min="37" max="37" width="15.21875" customWidth="1"/>
    <col min="38" max="39" width="13.44140625" bestFit="1" customWidth="1"/>
    <col min="40" max="40" width="16.44140625" customWidth="1"/>
    <col min="41" max="41" width="20.6640625" customWidth="1"/>
  </cols>
  <sheetData>
    <row r="1" spans="1:41" x14ac:dyDescent="0.3">
      <c r="A1" s="1"/>
      <c r="B1" s="2"/>
      <c r="C1" s="2"/>
      <c r="D1" s="2" t="s">
        <v>0</v>
      </c>
      <c r="E1" s="2"/>
      <c r="F1" s="2"/>
      <c r="G1" s="3"/>
      <c r="I1" s="4" t="s">
        <v>1</v>
      </c>
      <c r="J1" s="2"/>
      <c r="K1" s="2"/>
      <c r="L1" s="2"/>
      <c r="M1" s="2"/>
      <c r="N1" s="2"/>
      <c r="O1" s="3"/>
      <c r="Q1" s="5" t="s">
        <v>2</v>
      </c>
      <c r="R1" s="2"/>
      <c r="S1" s="2"/>
      <c r="T1" s="2"/>
      <c r="U1" s="2"/>
      <c r="V1" s="2"/>
      <c r="W1" s="2"/>
      <c r="X1" s="6"/>
      <c r="Y1" s="3"/>
    </row>
    <row r="2" spans="1:41" x14ac:dyDescent="0.3">
      <c r="A2" s="7" t="s">
        <v>3</v>
      </c>
      <c r="B2" s="8">
        <v>21</v>
      </c>
      <c r="C2">
        <v>22</v>
      </c>
      <c r="D2">
        <v>23</v>
      </c>
      <c r="E2">
        <v>24</v>
      </c>
      <c r="F2">
        <v>25</v>
      </c>
      <c r="G2" s="6"/>
      <c r="I2" s="7" t="s">
        <v>4</v>
      </c>
      <c r="M2" t="s">
        <v>0</v>
      </c>
      <c r="O2" s="6"/>
      <c r="Q2" s="7"/>
      <c r="R2" t="s">
        <v>0</v>
      </c>
      <c r="X2" s="6"/>
      <c r="Y2" s="6"/>
    </row>
    <row r="3" spans="1:41" x14ac:dyDescent="0.3">
      <c r="A3" s="7">
        <v>1</v>
      </c>
      <c r="B3" s="8">
        <v>145</v>
      </c>
      <c r="C3">
        <v>145</v>
      </c>
      <c r="D3">
        <v>145</v>
      </c>
      <c r="E3">
        <v>145</v>
      </c>
      <c r="F3">
        <v>145</v>
      </c>
      <c r="G3" s="6"/>
      <c r="I3" s="7" t="s">
        <v>5</v>
      </c>
      <c r="K3" s="8">
        <v>21</v>
      </c>
      <c r="L3">
        <v>22</v>
      </c>
      <c r="M3">
        <v>23</v>
      </c>
      <c r="N3">
        <v>24</v>
      </c>
      <c r="O3">
        <v>25</v>
      </c>
      <c r="Q3" s="7" t="s">
        <v>6</v>
      </c>
      <c r="R3">
        <v>0</v>
      </c>
      <c r="S3" s="8">
        <v>21</v>
      </c>
      <c r="T3">
        <v>22</v>
      </c>
      <c r="U3">
        <v>23</v>
      </c>
      <c r="V3">
        <v>24</v>
      </c>
      <c r="W3">
        <v>25</v>
      </c>
      <c r="X3" s="6"/>
      <c r="Y3" s="6"/>
    </row>
    <row r="4" spans="1:41" x14ac:dyDescent="0.3">
      <c r="A4" s="7">
        <v>2</v>
      </c>
      <c r="B4" s="8">
        <v>154</v>
      </c>
      <c r="C4">
        <v>152</v>
      </c>
      <c r="D4">
        <v>151</v>
      </c>
      <c r="E4">
        <v>150</v>
      </c>
      <c r="F4">
        <v>148</v>
      </c>
      <c r="G4" s="6"/>
      <c r="I4" s="7" t="s">
        <v>7</v>
      </c>
      <c r="O4" s="6"/>
      <c r="Q4" s="7" t="s">
        <v>8</v>
      </c>
      <c r="S4">
        <f>B41</f>
        <v>437</v>
      </c>
      <c r="T4">
        <f>C41</f>
        <v>404</v>
      </c>
      <c r="U4">
        <f>D41</f>
        <v>391</v>
      </c>
      <c r="V4">
        <f>E41</f>
        <v>375</v>
      </c>
      <c r="W4">
        <f>F41</f>
        <v>425</v>
      </c>
      <c r="X4" s="6"/>
      <c r="Y4" s="6"/>
      <c r="AA4" s="9" t="s">
        <v>9</v>
      </c>
      <c r="AB4" s="2"/>
      <c r="AC4" s="2"/>
      <c r="AD4" s="2"/>
      <c r="AE4" s="2"/>
      <c r="AF4" s="2"/>
      <c r="AG4" s="3"/>
    </row>
    <row r="5" spans="1:41" x14ac:dyDescent="0.3">
      <c r="A5" s="7">
        <v>3</v>
      </c>
      <c r="B5" s="8">
        <v>129</v>
      </c>
      <c r="C5">
        <v>100</v>
      </c>
      <c r="D5">
        <v>89</v>
      </c>
      <c r="E5">
        <v>75</v>
      </c>
      <c r="F5">
        <v>129</v>
      </c>
      <c r="G5" s="6"/>
      <c r="I5" s="7"/>
      <c r="O5" s="6"/>
      <c r="Q5" s="7" t="s">
        <v>10</v>
      </c>
      <c r="X5" s="6"/>
      <c r="Y5" s="6"/>
      <c r="AA5" s="7" t="s">
        <v>0</v>
      </c>
      <c r="AE5" t="s">
        <v>11</v>
      </c>
      <c r="AG5" s="6"/>
    </row>
    <row r="6" spans="1:41" x14ac:dyDescent="0.3">
      <c r="A6" s="7">
        <v>4</v>
      </c>
      <c r="B6" s="8">
        <v>82</v>
      </c>
      <c r="C6">
        <v>85</v>
      </c>
      <c r="D6">
        <v>88</v>
      </c>
      <c r="E6">
        <v>91</v>
      </c>
      <c r="F6">
        <v>93</v>
      </c>
      <c r="G6" s="6"/>
      <c r="I6" s="7" t="s">
        <v>12</v>
      </c>
      <c r="J6" t="s">
        <v>8</v>
      </c>
      <c r="K6">
        <v>145</v>
      </c>
      <c r="L6">
        <v>145</v>
      </c>
      <c r="M6">
        <v>145</v>
      </c>
      <c r="N6">
        <v>145</v>
      </c>
      <c r="O6" s="6">
        <v>145</v>
      </c>
      <c r="Q6" s="7" t="s">
        <v>13</v>
      </c>
      <c r="S6">
        <f>200-S4+S8</f>
        <v>429</v>
      </c>
      <c r="T6">
        <f>S6-T4+T8</f>
        <v>25</v>
      </c>
      <c r="U6">
        <f>T6-U4+U8</f>
        <v>400</v>
      </c>
      <c r="V6">
        <f t="shared" ref="V6:W6" si="0">U6-V4+V8</f>
        <v>25</v>
      </c>
      <c r="W6">
        <f t="shared" si="0"/>
        <v>25</v>
      </c>
      <c r="X6" s="6"/>
      <c r="Y6" s="6"/>
      <c r="AA6" s="7" t="s">
        <v>14</v>
      </c>
      <c r="AC6" s="8">
        <v>21</v>
      </c>
      <c r="AD6">
        <v>22</v>
      </c>
      <c r="AE6">
        <v>23</v>
      </c>
      <c r="AF6">
        <v>24</v>
      </c>
      <c r="AG6">
        <v>25</v>
      </c>
    </row>
    <row r="7" spans="1:41" x14ac:dyDescent="0.3">
      <c r="A7" s="7">
        <v>5</v>
      </c>
      <c r="B7" s="8">
        <v>43</v>
      </c>
      <c r="C7">
        <v>43</v>
      </c>
      <c r="D7">
        <v>43</v>
      </c>
      <c r="E7">
        <v>42</v>
      </c>
      <c r="F7">
        <v>42</v>
      </c>
      <c r="G7" s="6"/>
      <c r="I7" s="7"/>
      <c r="J7" t="s">
        <v>15</v>
      </c>
      <c r="K7">
        <v>0</v>
      </c>
      <c r="L7">
        <v>0</v>
      </c>
      <c r="M7">
        <v>0</v>
      </c>
      <c r="N7">
        <v>0</v>
      </c>
      <c r="O7" s="6">
        <v>0</v>
      </c>
      <c r="Q7" s="7" t="s">
        <v>16</v>
      </c>
      <c r="S7">
        <f>S4-200</f>
        <v>237</v>
      </c>
      <c r="T7">
        <f>T4-S6+25</f>
        <v>0</v>
      </c>
      <c r="U7">
        <f>U4-T6+25</f>
        <v>391</v>
      </c>
      <c r="V7">
        <f t="shared" ref="V7:W7" si="1">V4-U6+25</f>
        <v>0</v>
      </c>
      <c r="W7">
        <f t="shared" si="1"/>
        <v>425</v>
      </c>
      <c r="X7" s="6"/>
      <c r="Y7" s="6"/>
      <c r="AA7" s="7">
        <v>1</v>
      </c>
      <c r="AB7">
        <f>R21</f>
        <v>1000</v>
      </c>
      <c r="AC7">
        <f>3000</f>
        <v>3000</v>
      </c>
      <c r="AD7">
        <f>T21</f>
        <v>1000</v>
      </c>
      <c r="AE7">
        <f>U21</f>
        <v>1000</v>
      </c>
      <c r="AF7">
        <f>V21</f>
        <v>1000</v>
      </c>
      <c r="AG7" s="6">
        <f>W21</f>
        <v>0</v>
      </c>
    </row>
    <row r="8" spans="1:41" x14ac:dyDescent="0.3">
      <c r="A8" s="7"/>
      <c r="G8" s="6"/>
      <c r="I8" s="7"/>
      <c r="J8" t="s">
        <v>17</v>
      </c>
      <c r="L8">
        <v>0</v>
      </c>
      <c r="M8">
        <v>0</v>
      </c>
      <c r="N8">
        <v>0</v>
      </c>
      <c r="O8" s="6">
        <v>0</v>
      </c>
      <c r="Q8" s="7" t="s">
        <v>18</v>
      </c>
      <c r="S8">
        <f>S7+T4+25</f>
        <v>666</v>
      </c>
      <c r="U8">
        <f>U7+V4</f>
        <v>766</v>
      </c>
      <c r="W8">
        <f>W4-V6+25</f>
        <v>425</v>
      </c>
      <c r="X8" s="6"/>
      <c r="Y8" s="6"/>
      <c r="AA8" s="7">
        <v>2</v>
      </c>
      <c r="AB8">
        <v>0</v>
      </c>
      <c r="AC8">
        <f>R33</f>
        <v>0</v>
      </c>
      <c r="AD8">
        <f>S33</f>
        <v>200</v>
      </c>
      <c r="AE8">
        <f>T33</f>
        <v>200</v>
      </c>
      <c r="AF8">
        <f>U33</f>
        <v>0</v>
      </c>
      <c r="AG8" s="6">
        <f>V33</f>
        <v>200</v>
      </c>
    </row>
    <row r="9" spans="1:41" x14ac:dyDescent="0.3">
      <c r="A9" s="7"/>
      <c r="G9" s="6"/>
      <c r="I9" s="7"/>
      <c r="J9" t="s">
        <v>16</v>
      </c>
      <c r="K9">
        <v>145</v>
      </c>
      <c r="L9">
        <v>145</v>
      </c>
      <c r="M9">
        <v>145</v>
      </c>
      <c r="N9">
        <v>145</v>
      </c>
      <c r="O9" s="6">
        <v>145</v>
      </c>
      <c r="Q9" s="7" t="s">
        <v>19</v>
      </c>
      <c r="R9">
        <f>S8</f>
        <v>666</v>
      </c>
      <c r="T9">
        <f>U8</f>
        <v>766</v>
      </c>
      <c r="V9">
        <f>W8</f>
        <v>425</v>
      </c>
      <c r="X9" s="6"/>
      <c r="Y9" s="6"/>
      <c r="AA9" s="7">
        <v>3</v>
      </c>
      <c r="AB9">
        <f t="shared" ref="AB9" si="2">R9</f>
        <v>666</v>
      </c>
      <c r="AC9">
        <f>666</f>
        <v>666</v>
      </c>
      <c r="AD9">
        <f>T9</f>
        <v>766</v>
      </c>
      <c r="AE9">
        <f>U9</f>
        <v>0</v>
      </c>
      <c r="AF9">
        <f>V9</f>
        <v>425</v>
      </c>
      <c r="AG9" s="6">
        <f>W9</f>
        <v>0</v>
      </c>
    </row>
    <row r="10" spans="1:41" x14ac:dyDescent="0.3">
      <c r="A10" s="7"/>
      <c r="C10" t="s">
        <v>0</v>
      </c>
      <c r="G10" s="6"/>
      <c r="I10" s="7"/>
      <c r="J10" t="s">
        <v>20</v>
      </c>
      <c r="K10">
        <v>145</v>
      </c>
      <c r="L10">
        <v>145</v>
      </c>
      <c r="M10">
        <v>145</v>
      </c>
      <c r="N10">
        <v>145</v>
      </c>
      <c r="O10" s="6">
        <v>145</v>
      </c>
      <c r="Q10" s="7" t="s">
        <v>21</v>
      </c>
      <c r="R10" t="s">
        <v>22</v>
      </c>
      <c r="X10" s="6"/>
      <c r="Y10" s="6"/>
      <c r="AA10" s="10">
        <v>4</v>
      </c>
      <c r="AB10" s="11">
        <f t="shared" ref="AB10" si="3">R45</f>
        <v>1979</v>
      </c>
      <c r="AC10" s="11">
        <f>S45+1979</f>
        <v>3527</v>
      </c>
      <c r="AD10" s="11">
        <f>T45</f>
        <v>1948</v>
      </c>
      <c r="AE10" s="11">
        <f>U45</f>
        <v>1886</v>
      </c>
      <c r="AF10" s="11">
        <f>V45</f>
        <v>2086</v>
      </c>
      <c r="AG10" s="12">
        <f>W45</f>
        <v>0</v>
      </c>
    </row>
    <row r="11" spans="1:41" x14ac:dyDescent="0.3">
      <c r="A11" s="7" t="s">
        <v>12</v>
      </c>
      <c r="B11" t="s">
        <v>23</v>
      </c>
      <c r="C11" s="8">
        <v>21</v>
      </c>
      <c r="D11">
        <v>22</v>
      </c>
      <c r="E11">
        <v>23</v>
      </c>
      <c r="F11">
        <v>24</v>
      </c>
      <c r="G11">
        <v>25</v>
      </c>
      <c r="I11" s="7"/>
      <c r="J11" t="s">
        <v>24</v>
      </c>
      <c r="K11">
        <v>145</v>
      </c>
      <c r="L11">
        <v>145</v>
      </c>
      <c r="M11">
        <v>145</v>
      </c>
      <c r="N11">
        <v>145</v>
      </c>
      <c r="O11" s="6">
        <v>145</v>
      </c>
      <c r="Q11" s="7" t="s">
        <v>25</v>
      </c>
      <c r="R11">
        <v>1</v>
      </c>
      <c r="X11" s="6"/>
      <c r="Y11" s="6"/>
    </row>
    <row r="12" spans="1:41" x14ac:dyDescent="0.3">
      <c r="A12" s="7" t="s">
        <v>26</v>
      </c>
      <c r="B12">
        <v>1</v>
      </c>
      <c r="C12">
        <f>B$3*$B$12</f>
        <v>145</v>
      </c>
      <c r="D12">
        <f t="shared" ref="D12:G12" si="4">C$3*$B$12</f>
        <v>145</v>
      </c>
      <c r="E12">
        <f t="shared" si="4"/>
        <v>145</v>
      </c>
      <c r="F12">
        <f t="shared" si="4"/>
        <v>145</v>
      </c>
      <c r="G12" s="6">
        <f t="shared" si="4"/>
        <v>145</v>
      </c>
      <c r="I12" s="7"/>
      <c r="O12" s="6"/>
      <c r="Q12" s="7" t="s">
        <v>27</v>
      </c>
      <c r="R12">
        <v>25</v>
      </c>
      <c r="X12" s="6"/>
      <c r="Y12" s="6"/>
      <c r="AA12" s="13" t="s">
        <v>28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3"/>
    </row>
    <row r="13" spans="1:41" x14ac:dyDescent="0.3">
      <c r="A13" s="7" t="s">
        <v>29</v>
      </c>
      <c r="B13">
        <v>3</v>
      </c>
      <c r="C13">
        <f>B$3*$B$13</f>
        <v>435</v>
      </c>
      <c r="D13">
        <f t="shared" ref="D13:G13" si="5">C$3*$B$13</f>
        <v>435</v>
      </c>
      <c r="E13">
        <f t="shared" si="5"/>
        <v>435</v>
      </c>
      <c r="F13">
        <f t="shared" si="5"/>
        <v>435</v>
      </c>
      <c r="G13" s="6">
        <f t="shared" si="5"/>
        <v>435</v>
      </c>
      <c r="I13" s="7" t="s">
        <v>30</v>
      </c>
      <c r="M13" t="s">
        <v>0</v>
      </c>
      <c r="O13" s="6"/>
      <c r="Q13" s="7"/>
      <c r="X13" s="6"/>
      <c r="Y13" s="6"/>
      <c r="AA13" s="14" t="s">
        <v>31</v>
      </c>
      <c r="AO13" s="6"/>
    </row>
    <row r="14" spans="1:41" x14ac:dyDescent="0.3">
      <c r="A14" s="7"/>
      <c r="G14" s="6"/>
      <c r="I14" s="7" t="s">
        <v>5</v>
      </c>
      <c r="K14" s="8">
        <v>21</v>
      </c>
      <c r="L14">
        <v>22</v>
      </c>
      <c r="M14">
        <v>23</v>
      </c>
      <c r="N14">
        <v>24</v>
      </c>
      <c r="O14">
        <v>25</v>
      </c>
      <c r="Q14" s="7"/>
      <c r="R14" t="s">
        <v>0</v>
      </c>
      <c r="X14" s="6"/>
      <c r="Y14" s="6"/>
      <c r="AA14" s="14" t="s">
        <v>32</v>
      </c>
      <c r="AB14" s="15" t="s">
        <v>33</v>
      </c>
      <c r="AC14" s="15" t="s">
        <v>34</v>
      </c>
      <c r="AD14" s="15" t="s">
        <v>35</v>
      </c>
      <c r="AE14" s="15" t="s">
        <v>36</v>
      </c>
      <c r="AO14" s="6"/>
    </row>
    <row r="15" spans="1:41" x14ac:dyDescent="0.3">
      <c r="A15" s="7"/>
      <c r="C15" t="s">
        <v>0</v>
      </c>
      <c r="G15" s="6"/>
      <c r="I15" s="7" t="s">
        <v>7</v>
      </c>
      <c r="O15" s="6"/>
      <c r="Q15" s="7" t="s">
        <v>29</v>
      </c>
      <c r="R15">
        <v>0</v>
      </c>
      <c r="S15" s="8">
        <v>21</v>
      </c>
      <c r="T15">
        <v>22</v>
      </c>
      <c r="U15">
        <v>23</v>
      </c>
      <c r="V15">
        <v>24</v>
      </c>
      <c r="W15">
        <v>25</v>
      </c>
      <c r="X15" s="6"/>
      <c r="Y15" s="6"/>
      <c r="AA15" s="7">
        <v>1</v>
      </c>
      <c r="AB15">
        <v>20</v>
      </c>
      <c r="AC15">
        <v>19</v>
      </c>
      <c r="AD15">
        <v>13</v>
      </c>
      <c r="AE15">
        <v>0</v>
      </c>
      <c r="AO15" s="6"/>
    </row>
    <row r="16" spans="1:41" x14ac:dyDescent="0.3">
      <c r="A16" s="7" t="s">
        <v>37</v>
      </c>
      <c r="B16" t="s">
        <v>23</v>
      </c>
      <c r="C16" s="8">
        <v>21</v>
      </c>
      <c r="D16">
        <v>22</v>
      </c>
      <c r="E16">
        <v>23</v>
      </c>
      <c r="F16">
        <v>24</v>
      </c>
      <c r="G16">
        <v>25</v>
      </c>
      <c r="I16" s="7"/>
      <c r="O16" s="6"/>
      <c r="Q16" s="7" t="s">
        <v>8</v>
      </c>
      <c r="S16">
        <f>B39</f>
        <v>1232</v>
      </c>
      <c r="T16">
        <f>C39</f>
        <v>1218</v>
      </c>
      <c r="U16">
        <f>D39</f>
        <v>1222</v>
      </c>
      <c r="V16">
        <f>E39</f>
        <v>1217</v>
      </c>
      <c r="W16">
        <f>F39</f>
        <v>1281</v>
      </c>
      <c r="X16" s="6"/>
      <c r="Y16" s="6"/>
      <c r="AA16" s="7">
        <f>AA15+1</f>
        <v>2</v>
      </c>
      <c r="AB16">
        <v>9</v>
      </c>
      <c r="AC16">
        <v>22</v>
      </c>
      <c r="AD16">
        <v>18</v>
      </c>
      <c r="AE16">
        <v>8</v>
      </c>
      <c r="AO16" s="6"/>
    </row>
    <row r="17" spans="1:41" x14ac:dyDescent="0.3">
      <c r="A17" s="7" t="s">
        <v>26</v>
      </c>
      <c r="B17">
        <v>9</v>
      </c>
      <c r="C17">
        <f>B$4*$B$17</f>
        <v>1386</v>
      </c>
      <c r="D17">
        <f t="shared" ref="D17:G17" si="6">C$4*$B$17</f>
        <v>1368</v>
      </c>
      <c r="E17">
        <f t="shared" si="6"/>
        <v>1359</v>
      </c>
      <c r="F17">
        <f t="shared" si="6"/>
        <v>1350</v>
      </c>
      <c r="G17" s="6">
        <f t="shared" si="6"/>
        <v>1332</v>
      </c>
      <c r="I17" s="7" t="s">
        <v>37</v>
      </c>
      <c r="J17" t="s">
        <v>8</v>
      </c>
      <c r="K17">
        <v>154</v>
      </c>
      <c r="L17">
        <v>152</v>
      </c>
      <c r="M17">
        <v>151</v>
      </c>
      <c r="N17">
        <v>150</v>
      </c>
      <c r="O17" s="6">
        <v>148</v>
      </c>
      <c r="Q17" s="7" t="s">
        <v>10</v>
      </c>
      <c r="X17" s="6"/>
      <c r="Y17" s="6"/>
      <c r="AA17" s="7">
        <f t="shared" ref="AA17:AA21" si="7">AA16+1</f>
        <v>3</v>
      </c>
      <c r="AB17">
        <v>14</v>
      </c>
      <c r="AC17">
        <v>18</v>
      </c>
      <c r="AD17">
        <v>21</v>
      </c>
      <c r="AE17">
        <v>0</v>
      </c>
      <c r="AO17" s="6"/>
    </row>
    <row r="18" spans="1:41" x14ac:dyDescent="0.3">
      <c r="A18" s="7" t="s">
        <v>6</v>
      </c>
      <c r="B18">
        <v>2</v>
      </c>
      <c r="C18">
        <f>B$4*$B$18</f>
        <v>308</v>
      </c>
      <c r="D18">
        <f>C$4*$B$18</f>
        <v>304</v>
      </c>
      <c r="E18">
        <f>D$4*$B$18</f>
        <v>302</v>
      </c>
      <c r="F18">
        <f>E$4*$B$18</f>
        <v>300</v>
      </c>
      <c r="G18" s="6">
        <f t="shared" ref="G18" si="8">F$4*$B$18</f>
        <v>296</v>
      </c>
      <c r="I18" s="7"/>
      <c r="J18" t="s">
        <v>15</v>
      </c>
      <c r="O18" s="6"/>
      <c r="Q18" s="7" t="s">
        <v>38</v>
      </c>
      <c r="S18">
        <f>450-S16+S20</f>
        <v>218</v>
      </c>
      <c r="T18">
        <f>S18-T16+T20</f>
        <v>1000</v>
      </c>
      <c r="U18">
        <f t="shared" ref="U18:W18" si="9">T18-U16+U20</f>
        <v>778</v>
      </c>
      <c r="V18">
        <f t="shared" si="9"/>
        <v>561</v>
      </c>
      <c r="W18">
        <f t="shared" si="9"/>
        <v>280</v>
      </c>
      <c r="X18" s="16" t="s">
        <v>39</v>
      </c>
      <c r="Y18" s="6"/>
      <c r="AA18" s="7">
        <f t="shared" si="7"/>
        <v>4</v>
      </c>
      <c r="AB18">
        <v>21</v>
      </c>
      <c r="AC18">
        <v>7</v>
      </c>
      <c r="AD18">
        <v>0</v>
      </c>
      <c r="AE18">
        <v>12</v>
      </c>
      <c r="AO18" s="6"/>
    </row>
    <row r="19" spans="1:41" x14ac:dyDescent="0.3">
      <c r="A19" s="7"/>
      <c r="G19" s="6"/>
      <c r="I19" s="7"/>
      <c r="J19" t="s">
        <v>17</v>
      </c>
      <c r="O19" s="6"/>
      <c r="Q19" s="7" t="s">
        <v>16</v>
      </c>
      <c r="S19">
        <f>S16-450</f>
        <v>782</v>
      </c>
      <c r="T19">
        <f>T16-S18</f>
        <v>1000</v>
      </c>
      <c r="U19">
        <f t="shared" ref="U19:W19" si="10">U16-T18</f>
        <v>222</v>
      </c>
      <c r="V19">
        <f t="shared" si="10"/>
        <v>439</v>
      </c>
      <c r="W19">
        <f t="shared" si="10"/>
        <v>720</v>
      </c>
      <c r="X19" s="6">
        <f>W18-R24</f>
        <v>180</v>
      </c>
      <c r="Y19" s="6"/>
      <c r="AA19" s="7">
        <f t="shared" si="7"/>
        <v>5</v>
      </c>
      <c r="AB19">
        <v>15</v>
      </c>
      <c r="AC19">
        <v>15</v>
      </c>
      <c r="AD19">
        <v>16</v>
      </c>
      <c r="AE19">
        <v>16</v>
      </c>
      <c r="AO19" s="6"/>
    </row>
    <row r="20" spans="1:41" x14ac:dyDescent="0.3">
      <c r="A20" s="17"/>
      <c r="B20" s="18"/>
      <c r="C20" s="18" t="s">
        <v>0</v>
      </c>
      <c r="D20" s="18"/>
      <c r="E20" s="18"/>
      <c r="F20" s="18"/>
      <c r="G20" s="19"/>
      <c r="I20" s="7"/>
      <c r="J20" t="s">
        <v>16</v>
      </c>
      <c r="K20">
        <v>154</v>
      </c>
      <c r="L20">
        <v>152</v>
      </c>
      <c r="M20">
        <v>151</v>
      </c>
      <c r="N20">
        <v>150</v>
      </c>
      <c r="O20" s="6">
        <v>148</v>
      </c>
      <c r="Q20" s="7" t="s">
        <v>18</v>
      </c>
      <c r="S20">
        <f>R22</f>
        <v>1000</v>
      </c>
      <c r="T20">
        <f>2000</f>
        <v>2000</v>
      </c>
      <c r="U20">
        <v>1000</v>
      </c>
      <c r="V20">
        <v>1000</v>
      </c>
      <c r="W20">
        <v>1000</v>
      </c>
      <c r="X20" s="6"/>
      <c r="Y20" s="6"/>
      <c r="AA20" s="7">
        <f t="shared" si="7"/>
        <v>6</v>
      </c>
      <c r="AB20">
        <v>11</v>
      </c>
      <c r="AC20">
        <v>11</v>
      </c>
      <c r="AD20">
        <v>0</v>
      </c>
      <c r="AE20">
        <v>15</v>
      </c>
      <c r="AO20" s="6"/>
    </row>
    <row r="21" spans="1:41" x14ac:dyDescent="0.3">
      <c r="A21" s="17" t="s">
        <v>40</v>
      </c>
      <c r="B21" s="18" t="s">
        <v>23</v>
      </c>
      <c r="C21" s="8">
        <v>21</v>
      </c>
      <c r="D21">
        <v>22</v>
      </c>
      <c r="E21">
        <v>23</v>
      </c>
      <c r="F21">
        <v>24</v>
      </c>
      <c r="G21">
        <v>25</v>
      </c>
      <c r="I21" s="7"/>
      <c r="J21" t="s">
        <v>20</v>
      </c>
      <c r="K21">
        <v>154</v>
      </c>
      <c r="L21">
        <v>152</v>
      </c>
      <c r="M21">
        <v>151</v>
      </c>
      <c r="N21">
        <v>150</v>
      </c>
      <c r="O21" s="6">
        <v>148</v>
      </c>
      <c r="Q21" s="7" t="s">
        <v>19</v>
      </c>
      <c r="R21">
        <f>S20</f>
        <v>1000</v>
      </c>
      <c r="S21">
        <f t="shared" ref="S21:V21" si="11">T20</f>
        <v>2000</v>
      </c>
      <c r="T21">
        <f t="shared" si="11"/>
        <v>1000</v>
      </c>
      <c r="U21">
        <f t="shared" si="11"/>
        <v>1000</v>
      </c>
      <c r="V21">
        <f t="shared" si="11"/>
        <v>1000</v>
      </c>
      <c r="X21" s="6"/>
      <c r="Y21" s="6"/>
      <c r="AA21" s="7">
        <f t="shared" si="7"/>
        <v>7</v>
      </c>
      <c r="AB21">
        <v>18</v>
      </c>
      <c r="AC21">
        <v>0</v>
      </c>
      <c r="AD21">
        <v>3</v>
      </c>
      <c r="AE21">
        <v>10</v>
      </c>
      <c r="AO21" s="6"/>
    </row>
    <row r="22" spans="1:41" x14ac:dyDescent="0.3">
      <c r="A22" s="17" t="s">
        <v>29</v>
      </c>
      <c r="B22" s="18">
        <v>1</v>
      </c>
      <c r="C22" s="18">
        <f>$B22*B$5</f>
        <v>129</v>
      </c>
      <c r="D22" s="18">
        <f t="shared" ref="D22:G24" si="12">$B22*C$5</f>
        <v>100</v>
      </c>
      <c r="E22" s="18">
        <f t="shared" si="12"/>
        <v>89</v>
      </c>
      <c r="F22" s="18">
        <f t="shared" si="12"/>
        <v>75</v>
      </c>
      <c r="G22" s="19">
        <f t="shared" si="12"/>
        <v>129</v>
      </c>
      <c r="I22" s="7"/>
      <c r="J22" t="s">
        <v>24</v>
      </c>
      <c r="K22">
        <v>154</v>
      </c>
      <c r="L22">
        <v>152</v>
      </c>
      <c r="M22">
        <v>151</v>
      </c>
      <c r="N22">
        <v>150</v>
      </c>
      <c r="O22" s="6">
        <v>148</v>
      </c>
      <c r="Q22" s="7" t="s">
        <v>21</v>
      </c>
      <c r="R22">
        <v>1000</v>
      </c>
      <c r="X22" s="6"/>
      <c r="Y22" s="6"/>
      <c r="AA22" s="7"/>
      <c r="AO22" s="6"/>
    </row>
    <row r="23" spans="1:41" x14ac:dyDescent="0.3">
      <c r="A23" s="17" t="s">
        <v>6</v>
      </c>
      <c r="B23" s="18">
        <v>1</v>
      </c>
      <c r="C23" s="18">
        <f>$B23*B$5</f>
        <v>129</v>
      </c>
      <c r="D23" s="18">
        <f t="shared" si="12"/>
        <v>100</v>
      </c>
      <c r="E23" s="18">
        <f t="shared" si="12"/>
        <v>89</v>
      </c>
      <c r="F23" s="18">
        <f t="shared" si="12"/>
        <v>75</v>
      </c>
      <c r="G23" s="19">
        <f t="shared" si="12"/>
        <v>129</v>
      </c>
      <c r="I23" s="7"/>
      <c r="O23" s="6"/>
      <c r="Q23" s="7" t="s">
        <v>25</v>
      </c>
      <c r="R23">
        <v>1</v>
      </c>
      <c r="X23" s="6"/>
      <c r="Y23" s="6"/>
      <c r="AA23" s="14" t="s">
        <v>41</v>
      </c>
      <c r="AO23" s="6"/>
    </row>
    <row r="24" spans="1:41" x14ac:dyDescent="0.3">
      <c r="A24" s="17" t="s">
        <v>26</v>
      </c>
      <c r="B24">
        <v>4</v>
      </c>
      <c r="C24" s="18">
        <f>$B24*B$5</f>
        <v>516</v>
      </c>
      <c r="D24" s="18">
        <f t="shared" si="12"/>
        <v>400</v>
      </c>
      <c r="E24" s="18">
        <f t="shared" si="12"/>
        <v>356</v>
      </c>
      <c r="F24" s="18">
        <f t="shared" si="12"/>
        <v>300</v>
      </c>
      <c r="G24" s="19">
        <f t="shared" si="12"/>
        <v>516</v>
      </c>
      <c r="I24" s="7" t="s">
        <v>42</v>
      </c>
      <c r="M24" t="s">
        <v>0</v>
      </c>
      <c r="O24" s="6"/>
      <c r="Q24" s="7" t="s">
        <v>27</v>
      </c>
      <c r="R24">
        <v>100</v>
      </c>
      <c r="X24" s="6"/>
      <c r="Y24" s="6"/>
      <c r="AA24" s="7" t="str">
        <f>AA14</f>
        <v>Station</v>
      </c>
      <c r="AB24" t="str">
        <f t="shared" ref="AB24:AE24" si="13">AB14</f>
        <v>Sub-Product 1</v>
      </c>
      <c r="AC24" t="str">
        <f t="shared" si="13"/>
        <v>Sub-Product 2</v>
      </c>
      <c r="AD24" t="str">
        <f t="shared" si="13"/>
        <v>Sub-Product 3</v>
      </c>
      <c r="AE24" t="str">
        <f t="shared" si="13"/>
        <v>Sub-Product 4</v>
      </c>
      <c r="AO24" s="6"/>
    </row>
    <row r="25" spans="1:41" x14ac:dyDescent="0.3">
      <c r="A25" s="7"/>
      <c r="G25" s="6"/>
      <c r="I25" s="7" t="s">
        <v>5</v>
      </c>
      <c r="J25" t="s">
        <v>43</v>
      </c>
      <c r="K25" s="8">
        <v>21</v>
      </c>
      <c r="L25">
        <v>22</v>
      </c>
      <c r="M25">
        <v>23</v>
      </c>
      <c r="N25">
        <v>24</v>
      </c>
      <c r="O25">
        <v>25</v>
      </c>
      <c r="Q25" s="7"/>
      <c r="X25" s="6"/>
      <c r="Y25" s="6"/>
      <c r="AA25" s="7">
        <f t="shared" ref="AA25:AA31" si="14">AA15</f>
        <v>1</v>
      </c>
      <c r="AB25">
        <f>200</f>
        <v>200</v>
      </c>
      <c r="AC25">
        <v>190</v>
      </c>
      <c r="AD25">
        <v>80</v>
      </c>
      <c r="AE25">
        <v>0</v>
      </c>
      <c r="AO25" s="6"/>
    </row>
    <row r="26" spans="1:41" x14ac:dyDescent="0.3">
      <c r="A26" s="17"/>
      <c r="B26" s="18"/>
      <c r="C26" s="18" t="s">
        <v>0</v>
      </c>
      <c r="D26" s="18"/>
      <c r="E26" s="18"/>
      <c r="F26" s="18"/>
      <c r="G26" s="19"/>
      <c r="I26" s="7" t="s">
        <v>7</v>
      </c>
      <c r="O26" s="6"/>
      <c r="Q26" s="7"/>
      <c r="R26" t="s">
        <v>0</v>
      </c>
      <c r="X26" s="6"/>
      <c r="Y26" s="6"/>
      <c r="AA26" s="7">
        <f t="shared" si="14"/>
        <v>2</v>
      </c>
      <c r="AB26">
        <v>130</v>
      </c>
      <c r="AC26">
        <v>215</v>
      </c>
      <c r="AD26">
        <v>160</v>
      </c>
      <c r="AE26">
        <v>130</v>
      </c>
      <c r="AO26" s="6"/>
    </row>
    <row r="27" spans="1:41" x14ac:dyDescent="0.3">
      <c r="A27" s="17" t="s">
        <v>44</v>
      </c>
      <c r="B27" s="18" t="s">
        <v>23</v>
      </c>
      <c r="C27" s="8">
        <v>21</v>
      </c>
      <c r="D27">
        <v>22</v>
      </c>
      <c r="E27">
        <v>23</v>
      </c>
      <c r="F27">
        <v>24</v>
      </c>
      <c r="G27">
        <v>25</v>
      </c>
      <c r="I27" s="7"/>
      <c r="O27" s="6"/>
      <c r="Q27" s="7" t="s">
        <v>45</v>
      </c>
      <c r="R27" s="8">
        <v>21</v>
      </c>
      <c r="S27">
        <v>22</v>
      </c>
      <c r="T27">
        <v>23</v>
      </c>
      <c r="U27">
        <v>24</v>
      </c>
      <c r="V27">
        <v>25</v>
      </c>
      <c r="X27" s="6"/>
      <c r="Y27" s="6"/>
      <c r="AA27" s="7">
        <f t="shared" si="14"/>
        <v>3</v>
      </c>
      <c r="AB27">
        <v>210</v>
      </c>
      <c r="AC27">
        <v>85</v>
      </c>
      <c r="AD27">
        <v>65</v>
      </c>
      <c r="AE27">
        <v>0</v>
      </c>
      <c r="AO27" s="6"/>
    </row>
    <row r="28" spans="1:41" x14ac:dyDescent="0.3">
      <c r="A28" s="17" t="s">
        <v>26</v>
      </c>
      <c r="B28" s="18">
        <v>1</v>
      </c>
      <c r="C28" s="18">
        <f>$B28*B$6</f>
        <v>82</v>
      </c>
      <c r="D28" s="18">
        <f t="shared" ref="D28:G28" si="15">$B28*C$6</f>
        <v>85</v>
      </c>
      <c r="E28" s="18">
        <f t="shared" si="15"/>
        <v>88</v>
      </c>
      <c r="F28" s="18">
        <f t="shared" si="15"/>
        <v>91</v>
      </c>
      <c r="G28" s="19">
        <f t="shared" si="15"/>
        <v>93</v>
      </c>
      <c r="I28" s="7" t="s">
        <v>42</v>
      </c>
      <c r="J28" t="s">
        <v>8</v>
      </c>
      <c r="K28">
        <v>129</v>
      </c>
      <c r="L28">
        <v>100</v>
      </c>
      <c r="M28">
        <v>89</v>
      </c>
      <c r="N28">
        <v>75</v>
      </c>
      <c r="O28" s="6">
        <v>129</v>
      </c>
      <c r="Q28" s="7" t="s">
        <v>8</v>
      </c>
      <c r="R28">
        <f>B40</f>
        <v>125</v>
      </c>
      <c r="S28">
        <f>C40</f>
        <v>128</v>
      </c>
      <c r="T28">
        <f>D40</f>
        <v>131</v>
      </c>
      <c r="U28">
        <f>E40</f>
        <v>133</v>
      </c>
      <c r="V28">
        <f>F40</f>
        <v>135</v>
      </c>
      <c r="X28" s="6"/>
      <c r="Y28" s="6"/>
      <c r="AA28" s="7">
        <f t="shared" si="14"/>
        <v>4</v>
      </c>
      <c r="AB28">
        <v>95</v>
      </c>
      <c r="AC28">
        <v>155</v>
      </c>
      <c r="AD28">
        <v>0</v>
      </c>
      <c r="AE28">
        <v>60</v>
      </c>
      <c r="AO28" s="6"/>
    </row>
    <row r="29" spans="1:41" x14ac:dyDescent="0.3">
      <c r="A29" s="17" t="s">
        <v>45</v>
      </c>
      <c r="B29" s="18">
        <v>1</v>
      </c>
      <c r="C29" s="18">
        <f t="shared" ref="C29:G30" si="16">$B29*B$6</f>
        <v>82</v>
      </c>
      <c r="D29" s="18">
        <f t="shared" si="16"/>
        <v>85</v>
      </c>
      <c r="E29" s="18">
        <f t="shared" si="16"/>
        <v>88</v>
      </c>
      <c r="F29" s="18">
        <f t="shared" si="16"/>
        <v>91</v>
      </c>
      <c r="G29" s="19">
        <f t="shared" si="16"/>
        <v>93</v>
      </c>
      <c r="I29" s="7"/>
      <c r="J29" t="s">
        <v>15</v>
      </c>
      <c r="O29" s="6"/>
      <c r="Q29" s="7" t="s">
        <v>10</v>
      </c>
      <c r="X29" s="6" t="s">
        <v>39</v>
      </c>
      <c r="Y29" s="6"/>
      <c r="AA29" s="7">
        <f t="shared" si="14"/>
        <v>5</v>
      </c>
      <c r="AB29">
        <v>70</v>
      </c>
      <c r="AC29">
        <v>125</v>
      </c>
      <c r="AD29">
        <v>120</v>
      </c>
      <c r="AE29">
        <v>75</v>
      </c>
      <c r="AO29" s="6"/>
    </row>
    <row r="30" spans="1:41" x14ac:dyDescent="0.3">
      <c r="A30" s="17" t="s">
        <v>29</v>
      </c>
      <c r="B30">
        <v>5</v>
      </c>
      <c r="C30" s="18">
        <f t="shared" si="16"/>
        <v>410</v>
      </c>
      <c r="D30" s="18">
        <f t="shared" si="16"/>
        <v>425</v>
      </c>
      <c r="E30" s="18">
        <f t="shared" si="16"/>
        <v>440</v>
      </c>
      <c r="F30" s="18">
        <f t="shared" si="16"/>
        <v>455</v>
      </c>
      <c r="G30" s="19">
        <f t="shared" si="16"/>
        <v>465</v>
      </c>
      <c r="I30" s="7"/>
      <c r="J30" t="s">
        <v>17</v>
      </c>
      <c r="O30" s="6"/>
      <c r="Q30" s="7" t="s">
        <v>46</v>
      </c>
      <c r="R30">
        <f>150-R28+R32</f>
        <v>25</v>
      </c>
      <c r="S30">
        <f>R30-S28+S32</f>
        <v>97</v>
      </c>
      <c r="T30">
        <f>S30-T28+T32</f>
        <v>166</v>
      </c>
      <c r="U30">
        <f t="shared" ref="U30:V30" si="17">T30-U28+U32</f>
        <v>33</v>
      </c>
      <c r="V30">
        <f t="shared" si="17"/>
        <v>98</v>
      </c>
      <c r="X30" s="6">
        <f>V30</f>
        <v>98</v>
      </c>
      <c r="Y30" s="6"/>
      <c r="AA30" s="7">
        <f t="shared" si="14"/>
        <v>6</v>
      </c>
      <c r="AB30">
        <v>110</v>
      </c>
      <c r="AC30">
        <v>75</v>
      </c>
      <c r="AD30">
        <v>0</v>
      </c>
      <c r="AE30">
        <v>125</v>
      </c>
      <c r="AO30" s="6"/>
    </row>
    <row r="31" spans="1:41" x14ac:dyDescent="0.3">
      <c r="A31" s="7"/>
      <c r="G31" s="6"/>
      <c r="I31" s="7"/>
      <c r="J31" t="s">
        <v>16</v>
      </c>
      <c r="K31">
        <v>129</v>
      </c>
      <c r="L31">
        <v>100</v>
      </c>
      <c r="M31">
        <v>89</v>
      </c>
      <c r="N31">
        <v>75</v>
      </c>
      <c r="O31" s="6">
        <v>129</v>
      </c>
      <c r="Q31" s="7" t="s">
        <v>16</v>
      </c>
      <c r="S31">
        <f>S28-R30</f>
        <v>103</v>
      </c>
      <c r="T31">
        <f>T28-S30</f>
        <v>34</v>
      </c>
      <c r="V31">
        <f>V28-U30</f>
        <v>102</v>
      </c>
      <c r="X31" s="6"/>
      <c r="Y31" s="6"/>
      <c r="AA31" s="7">
        <f t="shared" si="14"/>
        <v>7</v>
      </c>
      <c r="AB31">
        <v>150</v>
      </c>
      <c r="AC31">
        <v>0</v>
      </c>
      <c r="AD31">
        <v>125</v>
      </c>
      <c r="AE31">
        <v>270</v>
      </c>
      <c r="AK31" t="s">
        <v>47</v>
      </c>
      <c r="AO31" s="6"/>
    </row>
    <row r="32" spans="1:41" x14ac:dyDescent="0.3">
      <c r="A32" s="17"/>
      <c r="B32" s="18"/>
      <c r="C32" s="18" t="s">
        <v>0</v>
      </c>
      <c r="D32" s="18"/>
      <c r="E32" s="18"/>
      <c r="F32" s="18"/>
      <c r="G32" s="19"/>
      <c r="I32" s="7"/>
      <c r="J32" t="s">
        <v>20</v>
      </c>
      <c r="K32">
        <v>129</v>
      </c>
      <c r="L32">
        <v>100</v>
      </c>
      <c r="M32">
        <v>89</v>
      </c>
      <c r="N32">
        <v>75</v>
      </c>
      <c r="O32" s="6">
        <v>129</v>
      </c>
      <c r="Q32" s="7" t="s">
        <v>18</v>
      </c>
      <c r="S32">
        <f>200</f>
        <v>200</v>
      </c>
      <c r="T32">
        <f>200</f>
        <v>200</v>
      </c>
      <c r="V32">
        <v>200</v>
      </c>
      <c r="X32" s="6"/>
      <c r="Y32" s="6"/>
      <c r="AA32" s="7"/>
      <c r="AJ32" t="s">
        <v>48</v>
      </c>
      <c r="AK32">
        <v>7</v>
      </c>
      <c r="AO32" s="6"/>
    </row>
    <row r="33" spans="1:41" x14ac:dyDescent="0.3">
      <c r="A33" s="17" t="s">
        <v>49</v>
      </c>
      <c r="B33" s="18" t="s">
        <v>23</v>
      </c>
      <c r="C33" s="8">
        <v>21</v>
      </c>
      <c r="D33">
        <v>22</v>
      </c>
      <c r="E33">
        <v>23</v>
      </c>
      <c r="F33">
        <v>24</v>
      </c>
      <c r="G33">
        <v>25</v>
      </c>
      <c r="I33" s="7"/>
      <c r="J33" t="s">
        <v>24</v>
      </c>
      <c r="K33">
        <v>129</v>
      </c>
      <c r="L33">
        <v>100</v>
      </c>
      <c r="M33">
        <v>89</v>
      </c>
      <c r="N33">
        <v>75</v>
      </c>
      <c r="O33" s="6">
        <v>129</v>
      </c>
      <c r="Q33" s="7" t="s">
        <v>19</v>
      </c>
      <c r="S33">
        <f>S32</f>
        <v>200</v>
      </c>
      <c r="T33">
        <f>T32</f>
        <v>200</v>
      </c>
      <c r="V33">
        <v>200</v>
      </c>
      <c r="X33" s="6"/>
      <c r="Y33" s="6"/>
      <c r="AA33" s="14" t="s">
        <v>50</v>
      </c>
      <c r="AJ33" t="s">
        <v>51</v>
      </c>
      <c r="AK33">
        <v>25</v>
      </c>
      <c r="AO33" s="6"/>
    </row>
    <row r="34" spans="1:41" x14ac:dyDescent="0.3">
      <c r="A34" s="17" t="s">
        <v>29</v>
      </c>
      <c r="B34" s="18">
        <v>6</v>
      </c>
      <c r="C34" s="18">
        <f>$B34*B$7</f>
        <v>258</v>
      </c>
      <c r="D34" s="18">
        <f t="shared" ref="D34:G35" si="18">$B34*C$7</f>
        <v>258</v>
      </c>
      <c r="E34" s="18">
        <f t="shared" si="18"/>
        <v>258</v>
      </c>
      <c r="F34" s="18">
        <f t="shared" si="18"/>
        <v>252</v>
      </c>
      <c r="G34" s="19">
        <f t="shared" si="18"/>
        <v>252</v>
      </c>
      <c r="I34" s="7"/>
      <c r="O34" s="6"/>
      <c r="Q34" s="7" t="s">
        <v>21</v>
      </c>
      <c r="R34">
        <v>200</v>
      </c>
      <c r="X34" s="6"/>
      <c r="Y34" s="6"/>
      <c r="AA34" s="14" t="str">
        <f>AA24</f>
        <v>Station</v>
      </c>
      <c r="AB34" s="15" t="s">
        <v>52</v>
      </c>
      <c r="AC34" t="s">
        <v>53</v>
      </c>
      <c r="AD34" t="s">
        <v>54</v>
      </c>
      <c r="AE34" t="s">
        <v>55</v>
      </c>
      <c r="AF34" t="s">
        <v>56</v>
      </c>
      <c r="AG34" t="s">
        <v>57</v>
      </c>
      <c r="AJ34" t="s">
        <v>58</v>
      </c>
      <c r="AK34">
        <v>22</v>
      </c>
      <c r="AO34" s="6"/>
    </row>
    <row r="35" spans="1:41" x14ac:dyDescent="0.3">
      <c r="A35" s="17" t="s">
        <v>45</v>
      </c>
      <c r="B35" s="18">
        <v>1</v>
      </c>
      <c r="C35" s="18">
        <f>$B35*B$7</f>
        <v>43</v>
      </c>
      <c r="D35" s="18">
        <f t="shared" si="18"/>
        <v>43</v>
      </c>
      <c r="E35" s="18">
        <f t="shared" si="18"/>
        <v>43</v>
      </c>
      <c r="F35" s="18">
        <f t="shared" si="18"/>
        <v>42</v>
      </c>
      <c r="G35" s="19">
        <f t="shared" si="18"/>
        <v>42</v>
      </c>
      <c r="I35" s="7" t="s">
        <v>59</v>
      </c>
      <c r="M35" t="s">
        <v>0</v>
      </c>
      <c r="O35" s="6"/>
      <c r="Q35" s="7" t="s">
        <v>25</v>
      </c>
      <c r="R35">
        <v>0</v>
      </c>
      <c r="X35" s="6"/>
      <c r="Y35" s="6"/>
      <c r="AA35" s="14">
        <f t="shared" ref="AA35:AA41" si="19">AA25</f>
        <v>1</v>
      </c>
      <c r="AB35">
        <v>180</v>
      </c>
      <c r="AC35">
        <v>35</v>
      </c>
      <c r="AD35">
        <f>2400/AB35</f>
        <v>13.333333333333334</v>
      </c>
      <c r="AE35">
        <f>AD35*AC35</f>
        <v>466.66666666666669</v>
      </c>
      <c r="AF35">
        <f>2400-AE35</f>
        <v>1933.3333333333333</v>
      </c>
      <c r="AG35">
        <v>10</v>
      </c>
      <c r="AH35">
        <f>AF35*AG35</f>
        <v>19333.333333333332</v>
      </c>
      <c r="AJ35" t="s">
        <v>60</v>
      </c>
      <c r="AK35">
        <v>12</v>
      </c>
      <c r="AO35" s="6"/>
    </row>
    <row r="36" spans="1:41" x14ac:dyDescent="0.3">
      <c r="A36" s="17"/>
      <c r="C36" s="18"/>
      <c r="D36" s="18"/>
      <c r="E36" s="18"/>
      <c r="F36" s="18"/>
      <c r="G36" s="19"/>
      <c r="I36" s="7" t="s">
        <v>5</v>
      </c>
      <c r="K36" s="8">
        <v>21</v>
      </c>
      <c r="L36">
        <v>22</v>
      </c>
      <c r="M36">
        <v>23</v>
      </c>
      <c r="N36">
        <v>24</v>
      </c>
      <c r="O36">
        <v>25</v>
      </c>
      <c r="Q36" s="7" t="s">
        <v>27</v>
      </c>
      <c r="R36">
        <v>0</v>
      </c>
      <c r="X36" s="6"/>
      <c r="Y36" s="6"/>
      <c r="AA36" s="14">
        <f t="shared" si="19"/>
        <v>2</v>
      </c>
      <c r="AB36">
        <v>180</v>
      </c>
      <c r="AC36">
        <v>35</v>
      </c>
      <c r="AD36">
        <f>2400/AB36</f>
        <v>13.333333333333334</v>
      </c>
      <c r="AE36">
        <f t="shared" ref="AE36:AE41" si="20">AD36*AC36</f>
        <v>466.66666666666669</v>
      </c>
      <c r="AF36">
        <f t="shared" ref="AF36:AF41" si="21">2400-AE36</f>
        <v>1933.3333333333333</v>
      </c>
      <c r="AG36">
        <v>20</v>
      </c>
      <c r="AH36">
        <f t="shared" ref="AH36:AH41" si="22">AF36*AG36</f>
        <v>38666.666666666664</v>
      </c>
      <c r="AO36" s="6"/>
    </row>
    <row r="37" spans="1:41" x14ac:dyDescent="0.3">
      <c r="A37" s="7"/>
      <c r="D37" t="s">
        <v>0</v>
      </c>
      <c r="G37" s="6"/>
      <c r="I37" s="7" t="s">
        <v>7</v>
      </c>
      <c r="O37" s="6"/>
      <c r="Q37" s="7"/>
      <c r="X37" s="6"/>
      <c r="Y37" s="6"/>
      <c r="AA37" s="14">
        <f t="shared" si="19"/>
        <v>3</v>
      </c>
      <c r="AB37">
        <v>200</v>
      </c>
      <c r="AC37">
        <v>35</v>
      </c>
      <c r="AD37">
        <f>2400/AB37</f>
        <v>12</v>
      </c>
      <c r="AE37">
        <f t="shared" si="20"/>
        <v>420</v>
      </c>
      <c r="AF37">
        <f t="shared" si="21"/>
        <v>1980</v>
      </c>
      <c r="AG37">
        <v>10</v>
      </c>
      <c r="AH37">
        <f t="shared" si="22"/>
        <v>19800</v>
      </c>
      <c r="AJ37" t="s">
        <v>61</v>
      </c>
      <c r="AK37">
        <v>2</v>
      </c>
      <c r="AL37" t="s">
        <v>62</v>
      </c>
      <c r="AO37" s="6"/>
    </row>
    <row r="38" spans="1:41" x14ac:dyDescent="0.3">
      <c r="A38" s="17" t="s">
        <v>63</v>
      </c>
      <c r="B38" s="8">
        <v>21</v>
      </c>
      <c r="C38">
        <v>22</v>
      </c>
      <c r="D38">
        <v>23</v>
      </c>
      <c r="E38">
        <v>24</v>
      </c>
      <c r="F38">
        <v>25</v>
      </c>
      <c r="G38" s="6"/>
      <c r="I38" s="7"/>
      <c r="O38" s="6"/>
      <c r="Q38" s="7"/>
      <c r="R38" t="s">
        <v>0</v>
      </c>
      <c r="X38" s="6"/>
      <c r="Y38" s="6"/>
      <c r="AA38" s="14">
        <f t="shared" si="19"/>
        <v>4</v>
      </c>
      <c r="AB38">
        <v>200</v>
      </c>
      <c r="AC38">
        <v>40</v>
      </c>
      <c r="AD38">
        <f>2400/AB38</f>
        <v>12</v>
      </c>
      <c r="AE38">
        <f t="shared" si="20"/>
        <v>480</v>
      </c>
      <c r="AF38">
        <f t="shared" si="21"/>
        <v>1920</v>
      </c>
      <c r="AG38">
        <v>15</v>
      </c>
      <c r="AH38">
        <f t="shared" si="22"/>
        <v>28800</v>
      </c>
      <c r="AJ38" t="s">
        <v>64</v>
      </c>
      <c r="AK38">
        <v>4500</v>
      </c>
      <c r="AL38" t="s">
        <v>65</v>
      </c>
      <c r="AO38" s="6"/>
    </row>
    <row r="39" spans="1:41" x14ac:dyDescent="0.3">
      <c r="A39" s="7">
        <v>1</v>
      </c>
      <c r="B39" s="8">
        <f>C13+C22+C30+C34</f>
        <v>1232</v>
      </c>
      <c r="C39">
        <f>D13+D22+D30+D34</f>
        <v>1218</v>
      </c>
      <c r="D39">
        <f>E13+E22+E30+E34</f>
        <v>1222</v>
      </c>
      <c r="E39">
        <f t="shared" ref="E39:F39" si="23">F13+F22+F30+F34</f>
        <v>1217</v>
      </c>
      <c r="F39">
        <f t="shared" si="23"/>
        <v>1281</v>
      </c>
      <c r="G39" s="6">
        <f>SUM(B39:F39)</f>
        <v>6170</v>
      </c>
      <c r="I39" s="7" t="s">
        <v>59</v>
      </c>
      <c r="J39" t="s">
        <v>8</v>
      </c>
      <c r="K39">
        <v>82</v>
      </c>
      <c r="L39">
        <v>85</v>
      </c>
      <c r="M39">
        <v>88</v>
      </c>
      <c r="N39">
        <v>91</v>
      </c>
      <c r="O39" s="6">
        <v>93</v>
      </c>
      <c r="Q39" s="7" t="s">
        <v>26</v>
      </c>
      <c r="R39">
        <v>0</v>
      </c>
      <c r="S39" s="8">
        <v>21</v>
      </c>
      <c r="T39">
        <v>22</v>
      </c>
      <c r="U39">
        <v>23</v>
      </c>
      <c r="V39">
        <v>24</v>
      </c>
      <c r="W39">
        <v>25</v>
      </c>
      <c r="X39" s="6"/>
      <c r="Y39" s="6"/>
      <c r="AA39" s="14">
        <f t="shared" si="19"/>
        <v>5</v>
      </c>
      <c r="AB39">
        <v>220</v>
      </c>
      <c r="AC39">
        <v>40</v>
      </c>
      <c r="AD39">
        <f>2400/AB39</f>
        <v>10.909090909090908</v>
      </c>
      <c r="AE39">
        <f t="shared" si="20"/>
        <v>436.36363636363632</v>
      </c>
      <c r="AF39">
        <f t="shared" si="21"/>
        <v>1963.6363636363637</v>
      </c>
      <c r="AG39">
        <v>15</v>
      </c>
      <c r="AH39">
        <f t="shared" si="22"/>
        <v>29454.545454545456</v>
      </c>
      <c r="AJ39" t="s">
        <v>66</v>
      </c>
      <c r="AK39" s="20">
        <v>2250</v>
      </c>
      <c r="AL39" t="s">
        <v>67</v>
      </c>
      <c r="AO39" s="6"/>
    </row>
    <row r="40" spans="1:41" x14ac:dyDescent="0.3">
      <c r="A40" s="7">
        <f>A39+1</f>
        <v>2</v>
      </c>
      <c r="B40" s="8">
        <f>C29+C35</f>
        <v>125</v>
      </c>
      <c r="C40">
        <f t="shared" ref="C40:F40" si="24">D29+D35</f>
        <v>128</v>
      </c>
      <c r="D40">
        <f t="shared" si="24"/>
        <v>131</v>
      </c>
      <c r="E40">
        <f t="shared" si="24"/>
        <v>133</v>
      </c>
      <c r="F40">
        <f t="shared" si="24"/>
        <v>135</v>
      </c>
      <c r="G40" s="6">
        <f t="shared" ref="G40:G42" si="25">SUM(B40:F40)</f>
        <v>652</v>
      </c>
      <c r="I40" s="7"/>
      <c r="J40" t="s">
        <v>15</v>
      </c>
      <c r="O40" s="6"/>
      <c r="Q40" s="7" t="s">
        <v>8</v>
      </c>
      <c r="S40">
        <f>B42</f>
        <v>2129</v>
      </c>
      <c r="T40">
        <f>C42</f>
        <v>1998</v>
      </c>
      <c r="U40">
        <f>D42</f>
        <v>1948</v>
      </c>
      <c r="V40">
        <f>E42</f>
        <v>1886</v>
      </c>
      <c r="W40">
        <f>F42</f>
        <v>2086</v>
      </c>
      <c r="X40" s="6"/>
      <c r="Y40" s="6"/>
      <c r="AA40" s="14">
        <f t="shared" si="19"/>
        <v>6</v>
      </c>
      <c r="AB40">
        <v>220</v>
      </c>
      <c r="AC40">
        <v>45</v>
      </c>
      <c r="AD40">
        <f>2400/AB40</f>
        <v>10.909090909090908</v>
      </c>
      <c r="AE40">
        <f t="shared" si="20"/>
        <v>490.90909090909088</v>
      </c>
      <c r="AF40">
        <f t="shared" si="21"/>
        <v>1909.090909090909</v>
      </c>
      <c r="AG40">
        <v>20</v>
      </c>
      <c r="AH40">
        <f t="shared" si="22"/>
        <v>38181.818181818177</v>
      </c>
      <c r="AO40" s="6"/>
    </row>
    <row r="41" spans="1:41" x14ac:dyDescent="0.3">
      <c r="A41" s="7">
        <f t="shared" ref="A41:A42" si="26">A40+1</f>
        <v>3</v>
      </c>
      <c r="B41" s="8">
        <f>C18+C23</f>
        <v>437</v>
      </c>
      <c r="C41">
        <f t="shared" ref="C41:F41" si="27">D18+D23</f>
        <v>404</v>
      </c>
      <c r="D41">
        <f t="shared" si="27"/>
        <v>391</v>
      </c>
      <c r="E41">
        <f t="shared" si="27"/>
        <v>375</v>
      </c>
      <c r="F41">
        <f t="shared" si="27"/>
        <v>425</v>
      </c>
      <c r="G41" s="6">
        <f t="shared" si="25"/>
        <v>2032</v>
      </c>
      <c r="I41" s="7"/>
      <c r="J41" t="s">
        <v>17</v>
      </c>
      <c r="O41" s="6"/>
      <c r="Q41" s="7" t="s">
        <v>10</v>
      </c>
      <c r="X41" s="6"/>
      <c r="Y41" s="6"/>
      <c r="AA41" s="14">
        <f t="shared" si="19"/>
        <v>7</v>
      </c>
      <c r="AB41" s="15">
        <v>220</v>
      </c>
      <c r="AC41">
        <v>60</v>
      </c>
      <c r="AD41">
        <f>2400/AB41</f>
        <v>10.909090909090908</v>
      </c>
      <c r="AE41">
        <f t="shared" si="20"/>
        <v>654.5454545454545</v>
      </c>
      <c r="AF41">
        <f t="shared" si="21"/>
        <v>1745.4545454545455</v>
      </c>
      <c r="AG41">
        <v>5</v>
      </c>
      <c r="AH41">
        <f t="shared" si="22"/>
        <v>8727.2727272727279</v>
      </c>
      <c r="AO41" s="6"/>
    </row>
    <row r="42" spans="1:41" x14ac:dyDescent="0.3">
      <c r="A42" s="10">
        <f t="shared" si="26"/>
        <v>4</v>
      </c>
      <c r="B42" s="21">
        <f>C12+C17+C24+C28</f>
        <v>2129</v>
      </c>
      <c r="C42" s="11">
        <f t="shared" ref="C42:F42" si="28">D12+D17+D24+D28</f>
        <v>1998</v>
      </c>
      <c r="D42" s="11">
        <f t="shared" si="28"/>
        <v>1948</v>
      </c>
      <c r="E42" s="11">
        <f t="shared" si="28"/>
        <v>1886</v>
      </c>
      <c r="F42" s="11">
        <f t="shared" si="28"/>
        <v>2086</v>
      </c>
      <c r="G42" s="12">
        <f t="shared" si="25"/>
        <v>10047</v>
      </c>
      <c r="I42" s="7"/>
      <c r="J42" t="s">
        <v>16</v>
      </c>
      <c r="K42">
        <v>82</v>
      </c>
      <c r="L42">
        <v>85</v>
      </c>
      <c r="M42">
        <v>88</v>
      </c>
      <c r="N42">
        <v>91</v>
      </c>
      <c r="O42" s="6">
        <v>93</v>
      </c>
      <c r="Q42" s="7" t="s">
        <v>89</v>
      </c>
      <c r="S42">
        <f>650-S40+S44</f>
        <v>500</v>
      </c>
      <c r="T42">
        <f>S42-T40+T44</f>
        <v>50</v>
      </c>
      <c r="U42">
        <f t="shared" ref="U42:W42" si="29">T42-U40+U44</f>
        <v>50</v>
      </c>
      <c r="V42">
        <f t="shared" si="29"/>
        <v>50</v>
      </c>
      <c r="W42">
        <f t="shared" si="29"/>
        <v>50</v>
      </c>
      <c r="X42" s="6"/>
      <c r="Y42" s="6"/>
      <c r="AA42" s="7"/>
      <c r="AO42" s="6"/>
    </row>
    <row r="43" spans="1:41" x14ac:dyDescent="0.3">
      <c r="I43" s="7"/>
      <c r="J43" t="s">
        <v>20</v>
      </c>
      <c r="K43">
        <v>82</v>
      </c>
      <c r="L43">
        <v>85</v>
      </c>
      <c r="M43">
        <v>88</v>
      </c>
      <c r="N43">
        <v>91</v>
      </c>
      <c r="O43" s="6">
        <v>93</v>
      </c>
      <c r="Q43" s="7" t="s">
        <v>16</v>
      </c>
      <c r="S43">
        <f>S40-200+50</f>
        <v>1979</v>
      </c>
      <c r="T43">
        <f>T40-S42+50</f>
        <v>1548</v>
      </c>
      <c r="U43">
        <f t="shared" ref="U43:W43" si="30">U40-T42+50</f>
        <v>1948</v>
      </c>
      <c r="V43">
        <f t="shared" si="30"/>
        <v>1886</v>
      </c>
      <c r="W43">
        <f t="shared" si="30"/>
        <v>2086</v>
      </c>
      <c r="X43" s="6"/>
      <c r="Y43" s="6"/>
      <c r="AA43" s="7"/>
      <c r="AD43" t="s">
        <v>0</v>
      </c>
      <c r="AO43" s="6"/>
    </row>
    <row r="44" spans="1:41" x14ac:dyDescent="0.3">
      <c r="I44" s="7"/>
      <c r="J44" t="s">
        <v>24</v>
      </c>
      <c r="K44">
        <v>82</v>
      </c>
      <c r="L44">
        <v>85</v>
      </c>
      <c r="M44">
        <v>88</v>
      </c>
      <c r="N44">
        <v>91</v>
      </c>
      <c r="O44" s="6">
        <v>93</v>
      </c>
      <c r="Q44" s="7" t="s">
        <v>18</v>
      </c>
      <c r="S44">
        <f>S43</f>
        <v>1979</v>
      </c>
      <c r="T44">
        <f>T43</f>
        <v>1548</v>
      </c>
      <c r="U44">
        <f t="shared" ref="U44:W44" si="31">U43</f>
        <v>1948</v>
      </c>
      <c r="V44">
        <f t="shared" si="31"/>
        <v>1886</v>
      </c>
      <c r="W44">
        <f t="shared" si="31"/>
        <v>2086</v>
      </c>
      <c r="X44" s="6"/>
      <c r="Y44" s="6"/>
      <c r="AA44" s="7" t="s">
        <v>32</v>
      </c>
      <c r="AC44" s="8">
        <v>21</v>
      </c>
      <c r="AD44">
        <v>22</v>
      </c>
      <c r="AE44">
        <v>23</v>
      </c>
      <c r="AF44">
        <v>24</v>
      </c>
      <c r="AG44">
        <v>25</v>
      </c>
      <c r="AO44" s="6"/>
    </row>
    <row r="45" spans="1:41" x14ac:dyDescent="0.3">
      <c r="I45" s="7"/>
      <c r="O45" s="6"/>
      <c r="Q45" s="7" t="s">
        <v>19</v>
      </c>
      <c r="R45">
        <f>S44</f>
        <v>1979</v>
      </c>
      <c r="S45">
        <f t="shared" ref="S45:V45" si="32">T44</f>
        <v>1548</v>
      </c>
      <c r="T45">
        <f t="shared" si="32"/>
        <v>1948</v>
      </c>
      <c r="U45">
        <f t="shared" si="32"/>
        <v>1886</v>
      </c>
      <c r="V45">
        <f t="shared" si="32"/>
        <v>2086</v>
      </c>
      <c r="X45" s="6"/>
      <c r="Y45" s="6"/>
      <c r="AA45" s="7">
        <v>1</v>
      </c>
      <c r="AB45" s="22">
        <f>AB$7*$AB15+AB$8*$AC15+AB$9*$AD15+AB$10*$AE15+IF(AB$7&gt;0,$AB25,0)+IF(AB$8&gt;0,$AC25,0)+IF(AB$9&gt;0,$AD25,0)+IF(AB$10&gt;0,$AE25,0)</f>
        <v>28938</v>
      </c>
      <c r="AC45" s="22">
        <f>AC$7*$AB15+AC$8*$AC15+AC$9*$AD15+AC$10*$AE15+IF(AC$7&gt;0,$AB25,0)+IF(AC$8&gt;0,$AC25,0)+IF(AC$9&gt;0,$AD25,0)+IF(AC$10&gt;0,$AE25,0)</f>
        <v>68938</v>
      </c>
      <c r="AD45" s="22">
        <f>AD$7*$AB15+AD$8*$AC15+AD$9*$AD15+AD$10*$AE15+IF(AD$7&gt;0,$AB25,0)+IF(AD$8&gt;0,$AC25,0)+IF(AD$9&gt;0,$AD25,0)+IF(AD$10&gt;0,$AE25,0)</f>
        <v>34228</v>
      </c>
      <c r="AE45" s="22">
        <f>AE$7*$AB15+AE$8*$AC15+AE$9*$AD15+AE$10*$AE15+IF(AE$7&gt;0,$AB25,0)+IF(AE$8&gt;0,$AC25,0)+IF(AE$9&gt;0,$AD25,0)+IF(AE$10&gt;0,$AE25,0)</f>
        <v>24190</v>
      </c>
      <c r="AF45" s="22">
        <f>AF$7*$AB15+AF$8*$AC15+AF$9*$AD15+AF$10*$AE15+IF(AF$7&gt;0,$AB25,0)+IF(AF$8&gt;0,$AC25,0)+IF(AF$9&gt;0,$AD25,0)+IF(AF$10&gt;0,$AE25,0)</f>
        <v>25805</v>
      </c>
      <c r="AG45">
        <f>AG$7*$AB15+AG$8*$AC15+AG$9*$AD15+AG$10*$AE15+IF(AG$7&gt;0,$AB25,0)+IF(AG$8&gt;0,$AC25,0)+IF(AG$9&gt;0,$AD25,0)+IF(AG$10&gt;0,$AE25,0)</f>
        <v>3990</v>
      </c>
      <c r="AO45" s="6"/>
    </row>
    <row r="46" spans="1:41" x14ac:dyDescent="0.3">
      <c r="I46" s="7" t="s">
        <v>68</v>
      </c>
      <c r="M46" t="s">
        <v>0</v>
      </c>
      <c r="O46" s="6"/>
      <c r="Q46" s="7" t="s">
        <v>21</v>
      </c>
      <c r="R46" t="s">
        <v>69</v>
      </c>
      <c r="X46" s="6"/>
      <c r="Y46" s="6"/>
      <c r="AA46" s="7">
        <f>AA45+1</f>
        <v>2</v>
      </c>
      <c r="AB46">
        <f>AB$7*$AB16+AB$8*$AC16+AB$9*$AD16+AB$10*$AE16+IF(AB$7&gt;0,$AB26,0)+IF(AB$8&gt;0,$AC26,0)+IF(AB$9&gt;0,$AD26,0)+IF(AB$10&gt;0,$AE26,0)</f>
        <v>37240</v>
      </c>
      <c r="AC46">
        <f>AC$7*$AB16+AC$8*$AC16+AC$9*$AD16+AC$10*$AE16+IF(AC$7&gt;0,$AB26,0)+IF(AC$8&gt;0,$AC26,0)+IF(AC$9&gt;0,$AD26,0)+IF(AC$10&gt;0,$AE26,0)</f>
        <v>67624</v>
      </c>
      <c r="AD46" s="22">
        <f>AD$7*$AB16+AD$8*$AC16+AD$9*$AD16+AD$10*$AE16+IF(AD$7&gt;0,$AB26,0)+IF(AD$8&gt;0,$AC26,0)+IF(AD$9&gt;0,$AD26,0)+IF(AD$10&gt;0,$AE26,0)</f>
        <v>43407</v>
      </c>
      <c r="AE46">
        <f>AE$7*$AB16+AE$8*$AC16+AE$9*$AD16+AE$10*$AE16+IF(AE$7&gt;0,$AB26,0)+IF(AE$8&gt;0,$AC26,0)+IF(AE$9&gt;0,$AD26,0)+IF(AE$10&gt;0,$AE26,0)</f>
        <v>28963</v>
      </c>
      <c r="AF46">
        <f>AF$7*$AB16+AF$8*$AC16+AF$9*$AD16+AF$10*$AE16+IF(AF$7&gt;0,$AB26,0)+IF(AF$8&gt;0,$AC26,0)+IF(AF$9&gt;0,$AD26,0)+IF(AF$10&gt;0,$AE26,0)</f>
        <v>33758</v>
      </c>
      <c r="AG46">
        <f>AG$7*$AB16+AG$8*$AC16+AG$9*$AD16+AG$10*$AE16+IF(AG$7&gt;0,$AB26,0)+IF(AG$8&gt;0,$AC26,0)+IF(AG$9&gt;0,$AD26,0)+IF(AG$10&gt;0,$AE26,0)</f>
        <v>4615</v>
      </c>
      <c r="AO46" s="6"/>
    </row>
    <row r="47" spans="1:41" x14ac:dyDescent="0.3">
      <c r="I47" s="7" t="s">
        <v>5</v>
      </c>
      <c r="K47" s="8">
        <v>21</v>
      </c>
      <c r="L47">
        <v>22</v>
      </c>
      <c r="M47">
        <v>23</v>
      </c>
      <c r="N47">
        <v>24</v>
      </c>
      <c r="O47">
        <v>25</v>
      </c>
      <c r="Q47" s="7" t="s">
        <v>25</v>
      </c>
      <c r="R47">
        <v>1</v>
      </c>
      <c r="X47" s="6"/>
      <c r="Y47" s="6"/>
      <c r="AA47" s="7">
        <f t="shared" ref="AA47:AA51" si="33">AA46+1</f>
        <v>3</v>
      </c>
      <c r="AB47" s="22">
        <f>AB$7*$AB17+AB$8*$AC17+AB$9*$AD17+AB$10*$AE17+IF(AB$7&gt;0,$AB27,0)+IF(AB$8&gt;0,$AC27,0)+IF(AB$9&gt;0,$AD27,0)+IF(AB$10&gt;0,$AE27,0)</f>
        <v>28261</v>
      </c>
      <c r="AC47" s="22">
        <f>AC$7*$AB17+AC$8*$AC17+AC$9*$AD17+AC$10*$AE17+IF(AC$7&gt;0,$AB27,0)+IF(AC$8&gt;0,$AC27,0)+IF(AC$9&gt;0,$AD27,0)+IF(AC$10&gt;0,$AE27,0)</f>
        <v>56261</v>
      </c>
      <c r="AD47" s="22">
        <f>AD$7*$AB17+AD$8*$AC17+AD$9*$AD17+AD$10*$AE17+IF(AD$7&gt;0,$AB27,0)+IF(AD$8&gt;0,$AC27,0)+IF(AD$9&gt;0,$AD27,0)+IF(AD$10&gt;0,$AE27,0)</f>
        <v>34046</v>
      </c>
      <c r="AE47">
        <f>AE$7*$AB17+AE$8*$AC17+AE$9*$AD17+AE$10*$AE17+IF(AE$7&gt;0,$AB27,0)+IF(AE$8&gt;0,$AC27,0)+IF(AE$9&gt;0,$AD27,0)+IF(AE$10&gt;0,$AE27,0)</f>
        <v>17895</v>
      </c>
      <c r="AF47" s="22">
        <f>AF$7*$AB17+AF$8*$AC17+AF$9*$AD17+AF$10*$AE17+IF(AF$7&gt;0,$AB27,0)+IF(AF$8&gt;0,$AC27,0)+IF(AF$9&gt;0,$AD27,0)+IF(AF$10&gt;0,$AE27,0)</f>
        <v>23200</v>
      </c>
      <c r="AG47">
        <f>AG$7*$AB17+AG$8*$AC17+AG$9*$AD17+AG$10*$AE17+IF(AG$7&gt;0,$AB27,0)+IF(AG$8&gt;0,$AC27,0)+IF(AG$9&gt;0,$AD27,0)+IF(AG$10&gt;0,$AE27,0)</f>
        <v>3685</v>
      </c>
      <c r="AO47" s="6"/>
    </row>
    <row r="48" spans="1:41" x14ac:dyDescent="0.3">
      <c r="I48" s="7" t="s">
        <v>7</v>
      </c>
      <c r="O48" s="6"/>
      <c r="Q48" s="10" t="s">
        <v>27</v>
      </c>
      <c r="R48" s="11">
        <v>50</v>
      </c>
      <c r="S48" s="11"/>
      <c r="T48" s="11"/>
      <c r="U48" s="11"/>
      <c r="V48" s="11"/>
      <c r="W48" s="11"/>
      <c r="X48" s="12"/>
      <c r="Y48" s="12"/>
      <c r="AA48" s="7">
        <f t="shared" si="33"/>
        <v>4</v>
      </c>
      <c r="AB48" s="22">
        <f>AB$7*$AB18+AB$8*$AC18+AB$9*$AD18+AB$10*$AE18+IF(AB$7&gt;0,$AB28,0)+IF(AB$8&gt;0,$AC28,0)+IF(AB$9&gt;0,$AD28,0)+IF(AB$10&gt;0,$AE28,0)</f>
        <v>44903</v>
      </c>
      <c r="AC48" s="22">
        <f>AC$7*$AB18+AC$8*$AC18+AC$9*$AD18+AC$10*$AE18+IF(AC$7&gt;0,$AB28,0)+IF(AC$8&gt;0,$AC28,0)+IF(AC$9&gt;0,$AD28,0)+IF(AC$10&gt;0,$AE28,0)</f>
        <v>105479</v>
      </c>
      <c r="AD48" s="22">
        <f>AD$7*$AB18+AD$8*$AC18+AD$9*$AD18+AD$10*$AE18+IF(AD$7&gt;0,$AB28,0)+IF(AD$8&gt;0,$AC28,0)+IF(AD$9&gt;0,$AD28,0)+IF(AD$10&gt;0,$AE28,0)</f>
        <v>46086</v>
      </c>
      <c r="AE48" s="22">
        <f>AE$7*$AB18+AE$8*$AC18+AE$9*$AD18+AE$10*$AE18+IF(AE$7&gt;0,$AB28,0)+IF(AE$8&gt;0,$AC28,0)+IF(AE$9&gt;0,$AD28,0)+IF(AE$10&gt;0,$AE28,0)</f>
        <v>45342</v>
      </c>
      <c r="AF48" s="22">
        <f>AF$7*$AB18+AF$8*$AC18+AF$9*$AD18+AF$10*$AE18+IF(AF$7&gt;0,$AB28,0)+IF(AF$8&gt;0,$AC28,0)+IF(AF$9&gt;0,$AD28,0)+IF(AF$10&gt;0,$AE28,0)</f>
        <v>46187</v>
      </c>
      <c r="AG48">
        <f>AG$7*$AB18+AG$8*$AC18+AG$9*$AD18+AG$10*$AE18+IF(AG$7&gt;0,$AB28,0)+IF(AG$8&gt;0,$AC28,0)+IF(AG$9&gt;0,$AD28,0)+IF(AG$10&gt;0,$AE28,0)</f>
        <v>1555</v>
      </c>
      <c r="AO48" s="6"/>
    </row>
    <row r="49" spans="9:41" x14ac:dyDescent="0.3">
      <c r="I49" s="7"/>
      <c r="O49" s="6"/>
      <c r="AA49" s="7">
        <f t="shared" si="33"/>
        <v>5</v>
      </c>
      <c r="AB49" s="22">
        <f>AB$7*$AB19+AB$8*$AC19+AB$9*$AD19+AB$10*$AE19+IF(AB$7&gt;0,$AB29,0)+IF(AB$8&gt;0,$AC29,0)+IF(AB$9&gt;0,$AD29,0)+IF(AB$10&gt;0,$AE29,0)</f>
        <v>57585</v>
      </c>
      <c r="AC49" s="22">
        <f>AC$7*$AB19+AC$8*$AC19+AC$9*$AD19+AC$10*$AE19+IF(AC$7&gt;0,$AB29,0)+IF(AC$8&gt;0,$AC29,0)+IF(AC$9&gt;0,$AD29,0)+IF(AC$10&gt;0,$AE29,0)</f>
        <v>112353</v>
      </c>
      <c r="AD49" s="22">
        <f>AD$7*$AB19+AD$8*$AC19+AD$9*$AD19+AD$10*$AE19+IF(AD$7&gt;0,$AB29,0)+IF(AD$8&gt;0,$AC29,0)+IF(AD$9&gt;0,$AD29,0)+IF(AD$10&gt;0,$AE29,0)</f>
        <v>61814</v>
      </c>
      <c r="AE49" s="22">
        <f>AE$7*$AB19+AE$8*$AC19+AE$9*$AD19+AE$10*$AE19+IF(AE$7&gt;0,$AB29,0)+IF(AE$8&gt;0,$AC29,0)+IF(AE$9&gt;0,$AD29,0)+IF(AE$10&gt;0,$AE29,0)</f>
        <v>48446</v>
      </c>
      <c r="AF49" s="22">
        <f>AF$7*$AB19+AF$8*$AC19+AF$9*$AD19+AF$10*$AE19+IF(AF$7&gt;0,$AB29,0)+IF(AF$8&gt;0,$AC29,0)+IF(AF$9&gt;0,$AD29,0)+IF(AF$10&gt;0,$AE29,0)</f>
        <v>55441</v>
      </c>
      <c r="AG49">
        <f>AG$7*$AB19+AG$8*$AC19+AG$9*$AD19+AG$10*$AE19+IF(AG$7&gt;0,$AB29,0)+IF(AG$8&gt;0,$AC29,0)+IF(AG$9&gt;0,$AD29,0)+IF(AG$10&gt;0,$AE29,0)</f>
        <v>3125</v>
      </c>
      <c r="AO49" s="6"/>
    </row>
    <row r="50" spans="9:41" x14ac:dyDescent="0.3">
      <c r="I50" s="7" t="s">
        <v>68</v>
      </c>
      <c r="J50" t="s">
        <v>8</v>
      </c>
      <c r="K50">
        <v>43</v>
      </c>
      <c r="L50">
        <v>43</v>
      </c>
      <c r="M50">
        <v>43</v>
      </c>
      <c r="N50">
        <v>42</v>
      </c>
      <c r="O50">
        <v>42</v>
      </c>
      <c r="AA50" s="7">
        <f t="shared" si="33"/>
        <v>6</v>
      </c>
      <c r="AB50" s="22">
        <f>AB$7*$AB20+AB$8*$AC20+AB$9*$AD20+AB$10*$AE20+IF(AB$7&gt;0,$AB30,0)+IF(AB$8&gt;0,$AC30,0)+IF(AB$9&gt;0,$AD30,0)+IF(AB$10&gt;0,$AE30,0)</f>
        <v>40920</v>
      </c>
      <c r="AC50" s="22">
        <f>AC$7*$AB20+AC$8*$AC20+AC$9*$AD20+AC$10*$AE20+IF(AC$7&gt;0,$AB30,0)+IF(AC$8&gt;0,$AC30,0)+IF(AC$9&gt;0,$AD30,0)+IF(AC$10&gt;0,$AE30,0)</f>
        <v>86140</v>
      </c>
      <c r="AD50" s="22">
        <f>AD$7*$AB20+AD$8*$AC20+AD$9*$AD20+AD$10*$AE20+IF(AD$7&gt;0,$AB30,0)+IF(AD$8&gt;0,$AC30,0)+IF(AD$9&gt;0,$AD30,0)+IF(AD$10&gt;0,$AE30,0)</f>
        <v>42730</v>
      </c>
      <c r="AE50" s="22">
        <f>AE$7*$AB20+AE$8*$AC20+AE$9*$AD20+AE$10*$AE20+IF(AE$7&gt;0,$AB30,0)+IF(AE$8&gt;0,$AC30,0)+IF(AE$9&gt;0,$AD30,0)+IF(AE$10&gt;0,$AE30,0)</f>
        <v>41800</v>
      </c>
      <c r="AF50" s="22">
        <f>AF$7*$AB20+AF$8*$AC20+AF$9*$AD20+AF$10*$AE20+IF(AF$7&gt;0,$AB30,0)+IF(AF$8&gt;0,$AC30,0)+IF(AF$9&gt;0,$AD30,0)+IF(AF$10&gt;0,$AE30,0)</f>
        <v>42525</v>
      </c>
      <c r="AG50">
        <f>AG$7*$AB20+AG$8*$AC20+AG$9*$AD20+AG$10*$AE20+IF(AG$7&gt;0,$AB30,0)+IF(AG$8&gt;0,$AC30,0)+IF(AG$9&gt;0,$AD30,0)+IF(AG$10&gt;0,$AE30,0)</f>
        <v>2275</v>
      </c>
      <c r="AO50" s="6"/>
    </row>
    <row r="51" spans="9:41" x14ac:dyDescent="0.3">
      <c r="I51" s="7"/>
      <c r="J51" t="s">
        <v>15</v>
      </c>
      <c r="AA51" s="7">
        <f t="shared" si="33"/>
        <v>7</v>
      </c>
      <c r="AB51" s="22">
        <f>AB$7*$AB21+AB$8*$AC21+AB$9*$AD21+AB$10*$AE21+IF(AB$7&gt;0,$AB31,0)+IF(AB$8&gt;0,$AC31,0)+IF(AB$9&gt;0,$AD31,0)+IF(AB$10&gt;0,$AE31,0)</f>
        <v>40333</v>
      </c>
      <c r="AC51" s="22">
        <f>AC$7*$AB21+AC$8*$AC21+AC$9*$AD21+AC$10*$AE21+IF(AC$7&gt;0,$AB31,0)+IF(AC$8&gt;0,$AC31,0)+IF(AC$9&gt;0,$AD31,0)+IF(AC$10&gt;0,$AE31,0)</f>
        <v>91813</v>
      </c>
      <c r="AD51" s="22">
        <f>AD$7*$AB21+AD$8*$AC21+AD$9*$AD21+AD$10*$AE21+IF(AD$7&gt;0,$AB31,0)+IF(AD$8&gt;0,$AC31,0)+IF(AD$9&gt;0,$AD31,0)+IF(AD$10&gt;0,$AE31,0)</f>
        <v>40323</v>
      </c>
      <c r="AE51" s="22">
        <f>AE$7*$AB21+AE$8*$AC21+AE$9*$AD21+AE$10*$AE21+IF(AE$7&gt;0,$AB31,0)+IF(AE$8&gt;0,$AC31,0)+IF(AE$9&gt;0,$AD31,0)+IF(AE$10&gt;0,$AE31,0)</f>
        <v>37280</v>
      </c>
      <c r="AF51" s="22">
        <f>AF$7*$AB21+AF$8*$AC21+AF$9*$AD21+AF$10*$AE21+IF(AF$7&gt;0,$AB31,0)+IF(AF$8&gt;0,$AC31,0)+IF(AF$9&gt;0,$AD31,0)+IF(AF$10&gt;0,$AE31,0)</f>
        <v>40680</v>
      </c>
      <c r="AG51">
        <f>AG$7*$AB21+AG$8*$AC21+AG$9*$AD21+AG$10*$AE21+IF(AG$7&gt;0,$AB31,0)+IF(AG$8&gt;0,$AC31,0)+IF(AG$9&gt;0,$AD31,0)+IF(AG$10&gt;0,$AE31,0)</f>
        <v>0</v>
      </c>
      <c r="AJ51" s="23"/>
      <c r="AO51" s="6"/>
    </row>
    <row r="52" spans="9:41" x14ac:dyDescent="0.3">
      <c r="I52" s="7"/>
      <c r="J52" t="s">
        <v>17</v>
      </c>
      <c r="AA52" s="7"/>
      <c r="AI52" s="1"/>
      <c r="AJ52" s="2"/>
      <c r="AK52" s="2"/>
      <c r="AL52" s="2" t="s">
        <v>0</v>
      </c>
      <c r="AM52" s="2"/>
      <c r="AN52" s="2"/>
      <c r="AO52" s="3"/>
    </row>
    <row r="53" spans="9:41" x14ac:dyDescent="0.3">
      <c r="I53" s="7"/>
      <c r="J53" t="s">
        <v>16</v>
      </c>
      <c r="K53">
        <v>43</v>
      </c>
      <c r="L53">
        <v>43</v>
      </c>
      <c r="M53">
        <v>43</v>
      </c>
      <c r="N53">
        <v>42</v>
      </c>
      <c r="O53">
        <v>42</v>
      </c>
      <c r="AA53" s="7" t="s">
        <v>70</v>
      </c>
      <c r="AB53">
        <f>IF(AB45&gt;$AH35,AB45,0)</f>
        <v>28938</v>
      </c>
      <c r="AC53">
        <f t="shared" ref="AC53:AG53" si="34">IF(AC45&gt;$AH35,AC45,0)</f>
        <v>68938</v>
      </c>
      <c r="AD53">
        <f t="shared" si="34"/>
        <v>34228</v>
      </c>
      <c r="AE53">
        <f t="shared" si="34"/>
        <v>24190</v>
      </c>
      <c r="AF53">
        <f t="shared" si="34"/>
        <v>25805</v>
      </c>
      <c r="AG53" s="24">
        <f t="shared" si="34"/>
        <v>0</v>
      </c>
      <c r="AI53" s="7"/>
      <c r="AK53" s="8">
        <v>21</v>
      </c>
      <c r="AL53">
        <v>22</v>
      </c>
      <c r="AM53">
        <v>23</v>
      </c>
      <c r="AN53">
        <v>24</v>
      </c>
      <c r="AO53">
        <v>25</v>
      </c>
    </row>
    <row r="54" spans="9:41" x14ac:dyDescent="0.3">
      <c r="I54" s="7"/>
      <c r="J54" t="s">
        <v>20</v>
      </c>
      <c r="K54">
        <v>43</v>
      </c>
      <c r="L54">
        <v>43</v>
      </c>
      <c r="M54">
        <v>43</v>
      </c>
      <c r="N54">
        <v>42</v>
      </c>
      <c r="O54">
        <v>42</v>
      </c>
      <c r="AA54" s="7"/>
      <c r="AB54" s="24">
        <f>IF(AB46&gt;$AH36,AB46,0)</f>
        <v>0</v>
      </c>
      <c r="AC54" s="24">
        <f>IF(AC46&gt;$AH36,AC46,0)</f>
        <v>67624</v>
      </c>
      <c r="AD54">
        <f>IF(AD46&gt;$AH36,AD46,0)</f>
        <v>43407</v>
      </c>
      <c r="AE54" s="24">
        <f>IF(AE46&gt;$AH36,AE46,0)</f>
        <v>0</v>
      </c>
      <c r="AF54" s="24">
        <f>IF(AF46&gt;$AH36,AF46,0)</f>
        <v>0</v>
      </c>
      <c r="AG54" s="24">
        <f>IF(AG46&gt;$AH36,AG46,0)</f>
        <v>0</v>
      </c>
      <c r="AI54" s="7" t="s">
        <v>71</v>
      </c>
      <c r="AJ54" s="25"/>
      <c r="AK54" s="25">
        <f>AC124*$AK$38</f>
        <v>796500</v>
      </c>
      <c r="AL54" s="25">
        <f>AD124*$AK$38</f>
        <v>0</v>
      </c>
      <c r="AM54" s="25">
        <f>AE124*$AK$38</f>
        <v>0</v>
      </c>
      <c r="AN54" s="25">
        <f>AF124*$AK$38</f>
        <v>72000</v>
      </c>
      <c r="AO54" s="26">
        <f>AG124*$AK$38</f>
        <v>0</v>
      </c>
    </row>
    <row r="55" spans="9:41" x14ac:dyDescent="0.3">
      <c r="I55" s="10"/>
      <c r="J55" s="11" t="s">
        <v>24</v>
      </c>
      <c r="K55">
        <v>43</v>
      </c>
      <c r="L55">
        <v>43</v>
      </c>
      <c r="M55">
        <v>43</v>
      </c>
      <c r="N55">
        <v>42</v>
      </c>
      <c r="O55">
        <v>42</v>
      </c>
      <c r="AA55" s="7"/>
      <c r="AB55">
        <f>IF(AB47&gt;$AH37,AB47,0)</f>
        <v>28261</v>
      </c>
      <c r="AC55">
        <f>IF(AC47&gt;$AH37,AC47,0)</f>
        <v>56261</v>
      </c>
      <c r="AD55">
        <f>IF(AD47&gt;$AH37,AD47,0)</f>
        <v>34046</v>
      </c>
      <c r="AE55" s="24">
        <f>IF(AE47&gt;$AH37,AE47,0)</f>
        <v>0</v>
      </c>
      <c r="AF55">
        <f>IF(AF47&gt;$AH37,AF47,0)</f>
        <v>23200</v>
      </c>
      <c r="AG55" s="24">
        <f>IF(AG47&gt;$AH37,AG47,0)</f>
        <v>0</v>
      </c>
      <c r="AI55" s="7" t="s">
        <v>72</v>
      </c>
      <c r="AJ55" s="25"/>
      <c r="AK55" s="25">
        <f t="shared" ref="AK55:AO55" si="35">AC125*$AK$39</f>
        <v>0</v>
      </c>
      <c r="AL55" s="25">
        <f t="shared" si="35"/>
        <v>364500</v>
      </c>
      <c r="AM55" s="25">
        <f t="shared" si="35"/>
        <v>72000</v>
      </c>
      <c r="AN55" s="25">
        <f t="shared" si="35"/>
        <v>0</v>
      </c>
      <c r="AO55" s="26">
        <f t="shared" si="35"/>
        <v>324000</v>
      </c>
    </row>
    <row r="56" spans="9:41" x14ac:dyDescent="0.3">
      <c r="AA56" s="7"/>
      <c r="AB56">
        <f>IF(AB48&gt;$AH38,AB48,0)</f>
        <v>44903</v>
      </c>
      <c r="AC56">
        <f>IF(AC48&gt;$AH38,AC48,0)</f>
        <v>105479</v>
      </c>
      <c r="AD56">
        <f>IF(AD48&gt;$AH38,AD48,0)</f>
        <v>46086</v>
      </c>
      <c r="AE56">
        <f>IF(AE48&gt;$AH38,AE48,0)</f>
        <v>45342</v>
      </c>
      <c r="AF56">
        <f>IF(AF48&gt;$AH38,AF48,0)</f>
        <v>46187</v>
      </c>
      <c r="AG56" s="24">
        <f>IF(AG48&gt;$AH38,AG48,0)</f>
        <v>0</v>
      </c>
      <c r="AI56" s="7" t="s">
        <v>73</v>
      </c>
      <c r="AJ56" s="25"/>
      <c r="AK56" s="25">
        <f>(SUM(AC63:AC69)-SUM(AC45:AC51))*$AK$37</f>
        <v>11793.696969697019</v>
      </c>
      <c r="AL56" s="25">
        <f>(SUM(AD63:AD69)-SUM(AD45:AD51))*$AK$37</f>
        <v>17818.06060606055</v>
      </c>
      <c r="AM56" s="25">
        <f>(SUM(AE63:AE69)-SUM(AE45:AE51))*$AK$37</f>
        <v>11176.484848484863</v>
      </c>
      <c r="AN56" s="25">
        <f>(SUM(AF63:AF69)-SUM(AF45:AF51))*$AK$37</f>
        <v>17552.242424242431</v>
      </c>
      <c r="AO56" s="26">
        <f>(SUM(AG63:AG69)-SUM(AG45:AG51))*$AK$37</f>
        <v>11960.909090909088</v>
      </c>
    </row>
    <row r="57" spans="9:41" x14ac:dyDescent="0.3">
      <c r="AA57" s="7"/>
      <c r="AB57">
        <f>IF(AB49&gt;$AH39,AB49,0)</f>
        <v>57585</v>
      </c>
      <c r="AC57">
        <f>IF(AC49&gt;$AH39,AC49,0)</f>
        <v>112353</v>
      </c>
      <c r="AD57">
        <f>IF(AD49&gt;$AH39,AD49,0)</f>
        <v>61814</v>
      </c>
      <c r="AE57">
        <f>IF(AE49&gt;$AH39,AE49,0)</f>
        <v>48446</v>
      </c>
      <c r="AF57">
        <f>IF(AF49&gt;$AH39,AF49,0)</f>
        <v>55441</v>
      </c>
      <c r="AG57" s="24">
        <f>IF(AG49&gt;$AH39,AG49,0)</f>
        <v>0</v>
      </c>
      <c r="AI57" s="7" t="s">
        <v>29</v>
      </c>
      <c r="AJ57" s="25"/>
      <c r="AK57" s="25">
        <f>$AK32*AC7</f>
        <v>21000</v>
      </c>
      <c r="AL57" s="25">
        <f>$AK32*AD7</f>
        <v>7000</v>
      </c>
      <c r="AM57" s="25">
        <f>$AK32*AE7</f>
        <v>7000</v>
      </c>
      <c r="AN57" s="25">
        <f>$AK32*AF7</f>
        <v>7000</v>
      </c>
      <c r="AO57" s="26">
        <f>$AK32*AG7</f>
        <v>0</v>
      </c>
    </row>
    <row r="58" spans="9:41" x14ac:dyDescent="0.3">
      <c r="AA58" s="7"/>
      <c r="AB58">
        <f>IF(AB50&gt;$AH40,AB50,0)</f>
        <v>40920</v>
      </c>
      <c r="AC58">
        <f>IF(AC50&gt;$AH40,AC50,0)</f>
        <v>86140</v>
      </c>
      <c r="AD58">
        <f>IF(AD50&gt;$AH40,AD50,0)</f>
        <v>42730</v>
      </c>
      <c r="AE58">
        <f>IF(AE50&gt;$AH40,AE50,0)</f>
        <v>41800</v>
      </c>
      <c r="AF58">
        <f>IF(AF50&gt;$AH40,AF50,0)</f>
        <v>42525</v>
      </c>
      <c r="AG58" s="24">
        <f>IF(AG50&gt;$AH40,AG50,0)</f>
        <v>0</v>
      </c>
      <c r="AI58" s="7" t="s">
        <v>45</v>
      </c>
      <c r="AJ58" s="25"/>
      <c r="AK58" s="25">
        <f>$AK33*AC8</f>
        <v>0</v>
      </c>
      <c r="AL58" s="25">
        <f>$AK33*AD8</f>
        <v>5000</v>
      </c>
      <c r="AM58" s="25">
        <f>$AK33*AE8</f>
        <v>5000</v>
      </c>
      <c r="AN58" s="25">
        <f>$AK33*AF8</f>
        <v>0</v>
      </c>
      <c r="AO58" s="26">
        <f>$AK33*AG8</f>
        <v>5000</v>
      </c>
    </row>
    <row r="59" spans="9:41" x14ac:dyDescent="0.3">
      <c r="AA59" s="7"/>
      <c r="AB59">
        <f>IF(AB51&gt;$AH41,AB51,0)</f>
        <v>40333</v>
      </c>
      <c r="AC59">
        <f>IF(AC51&gt;$AH41,AC51,0)</f>
        <v>91813</v>
      </c>
      <c r="AD59">
        <f>IF(AD51&gt;$AH41,AD51,0)</f>
        <v>40323</v>
      </c>
      <c r="AE59">
        <f>IF(AE51&gt;$AH41,AE51,0)</f>
        <v>37280</v>
      </c>
      <c r="AF59">
        <f>IF(AF51&gt;$AH41,AF51,0)</f>
        <v>40680</v>
      </c>
      <c r="AG59" s="24">
        <f>IF(AG51&gt;$AH41,AG51,0)</f>
        <v>0</v>
      </c>
      <c r="AI59" s="7" t="s">
        <v>6</v>
      </c>
      <c r="AJ59" s="25"/>
      <c r="AK59" s="25">
        <f>$AK34*AC9</f>
        <v>14652</v>
      </c>
      <c r="AL59" s="25">
        <f>$AK34*AD9</f>
        <v>16852</v>
      </c>
      <c r="AM59" s="25">
        <f>$AK34*AE9</f>
        <v>0</v>
      </c>
      <c r="AN59" s="25">
        <f>$AK34*AF9</f>
        <v>9350</v>
      </c>
      <c r="AO59" s="26">
        <f>$AK34*AG9</f>
        <v>0</v>
      </c>
    </row>
    <row r="60" spans="9:41" x14ac:dyDescent="0.3">
      <c r="AA60" s="7"/>
      <c r="AI60" s="7" t="s">
        <v>26</v>
      </c>
      <c r="AJ60" s="25"/>
      <c r="AK60" s="25">
        <f>$AK35*AC10</f>
        <v>42324</v>
      </c>
      <c r="AL60" s="25">
        <f>$AK35*AD10</f>
        <v>23376</v>
      </c>
      <c r="AM60" s="25">
        <f>$AK35*AE10</f>
        <v>22632</v>
      </c>
      <c r="AN60" s="25">
        <f>$AK35*AF10</f>
        <v>25032</v>
      </c>
      <c r="AO60" s="26">
        <f>$AK35*AG10</f>
        <v>0</v>
      </c>
    </row>
    <row r="61" spans="9:41" x14ac:dyDescent="0.3">
      <c r="AA61" s="7"/>
      <c r="AI61" s="7" t="s">
        <v>74</v>
      </c>
      <c r="AJ61" s="25"/>
      <c r="AK61" s="25">
        <f t="shared" ref="AK61:AO61" si="36">SUM(AK54:AK60)</f>
        <v>886269.69696969702</v>
      </c>
      <c r="AL61" s="25">
        <f t="shared" si="36"/>
        <v>434546.06060606055</v>
      </c>
      <c r="AM61" s="25">
        <f t="shared" si="36"/>
        <v>117808.48484848486</v>
      </c>
      <c r="AN61" s="25">
        <f t="shared" si="36"/>
        <v>130934.24242424243</v>
      </c>
      <c r="AO61" s="26">
        <f t="shared" si="36"/>
        <v>340960.90909090906</v>
      </c>
    </row>
    <row r="62" spans="9:41" x14ac:dyDescent="0.3">
      <c r="AA62" s="7" t="s">
        <v>32</v>
      </c>
      <c r="AD62" t="s">
        <v>56</v>
      </c>
      <c r="AI62" s="7"/>
      <c r="AO62" s="6"/>
    </row>
    <row r="63" spans="9:41" x14ac:dyDescent="0.3">
      <c r="AA63" s="7">
        <v>1</v>
      </c>
      <c r="AB63">
        <f>AB73*$AF35</f>
        <v>29000</v>
      </c>
      <c r="AC63">
        <f>AC73*$AF35</f>
        <v>69600</v>
      </c>
      <c r="AD63">
        <f>AD73*$AF35</f>
        <v>34800</v>
      </c>
      <c r="AE63">
        <f>AE73*$AF35</f>
        <v>25133.333333333332</v>
      </c>
      <c r="AF63">
        <f>AF73*$AF35</f>
        <v>27066.666666666664</v>
      </c>
      <c r="AG63">
        <f>AG73*$AF35</f>
        <v>5800</v>
      </c>
      <c r="AI63" s="10" t="s">
        <v>75</v>
      </c>
      <c r="AJ63" s="27">
        <f>SUM(AK61:AO61)</f>
        <v>1910519.393939394</v>
      </c>
      <c r="AK63" s="11"/>
      <c r="AL63" s="11"/>
      <c r="AM63" s="11"/>
      <c r="AN63" s="11"/>
      <c r="AO63" s="12"/>
    </row>
    <row r="64" spans="9:41" x14ac:dyDescent="0.3">
      <c r="AA64" s="7">
        <f>AA63+1</f>
        <v>2</v>
      </c>
      <c r="AB64">
        <f>AB74*$AF36</f>
        <v>38666.666666666664</v>
      </c>
      <c r="AC64">
        <f>AC74*$AF36</f>
        <v>67666.666666666657</v>
      </c>
      <c r="AD64">
        <f>AD74*$AF36</f>
        <v>44466.666666666664</v>
      </c>
      <c r="AE64">
        <f>AE74*$AF36</f>
        <v>29000</v>
      </c>
      <c r="AF64">
        <f>AF74*$AF36</f>
        <v>34800</v>
      </c>
      <c r="AG64">
        <f>AG74*$AF36</f>
        <v>5800</v>
      </c>
      <c r="AO64" s="6"/>
    </row>
    <row r="65" spans="27:41" x14ac:dyDescent="0.3">
      <c r="AA65" s="7">
        <f t="shared" ref="AA65:AA69" si="37">AA64+1</f>
        <v>3</v>
      </c>
      <c r="AB65">
        <f>AB75*$AF37</f>
        <v>29700</v>
      </c>
      <c r="AC65">
        <f>AC75*$AF37</f>
        <v>57420</v>
      </c>
      <c r="AD65">
        <f>AD75*$AF37</f>
        <v>35640</v>
      </c>
      <c r="AE65">
        <f>AE75*$AF37</f>
        <v>19800</v>
      </c>
      <c r="AF65">
        <f>AF75*$AF37</f>
        <v>23760</v>
      </c>
      <c r="AG65">
        <f>AG75*$AF37</f>
        <v>3960</v>
      </c>
      <c r="AI65" s="28" t="s">
        <v>76</v>
      </c>
      <c r="AJ65" s="28"/>
      <c r="AK65" s="28"/>
      <c r="AL65" s="28"/>
      <c r="AO65" s="6"/>
    </row>
    <row r="66" spans="27:41" x14ac:dyDescent="0.3">
      <c r="AA66" s="7">
        <f t="shared" si="37"/>
        <v>4</v>
      </c>
      <c r="AB66">
        <f>AB76*$AF38</f>
        <v>46080</v>
      </c>
      <c r="AC66">
        <f>AC76*$AF38</f>
        <v>105600</v>
      </c>
      <c r="AD66">
        <f>AD76*$AF38</f>
        <v>48000</v>
      </c>
      <c r="AE66">
        <f>AE76*$AF38</f>
        <v>46080</v>
      </c>
      <c r="AF66">
        <f>AF76*$AF38</f>
        <v>48000</v>
      </c>
      <c r="AG66">
        <f>AG76*$AF38</f>
        <v>1920</v>
      </c>
      <c r="AI66" s="28"/>
      <c r="AJ66" s="28"/>
      <c r="AK66" s="28"/>
      <c r="AL66" s="28"/>
      <c r="AO66" s="6"/>
    </row>
    <row r="67" spans="27:41" x14ac:dyDescent="0.3">
      <c r="AA67" s="7">
        <f t="shared" si="37"/>
        <v>5</v>
      </c>
      <c r="AB67">
        <f>AB77*$AF39</f>
        <v>58909.090909090912</v>
      </c>
      <c r="AC67">
        <f>AC77*$AF39</f>
        <v>113890.9090909091</v>
      </c>
      <c r="AD67">
        <f>AD77*$AF39</f>
        <v>62836.36363636364</v>
      </c>
      <c r="AE67">
        <f>AE77*$AF39</f>
        <v>49090.909090909096</v>
      </c>
      <c r="AF67">
        <f>AF77*$AF39</f>
        <v>56945.454545454551</v>
      </c>
      <c r="AG67">
        <f>AG77*$AF39</f>
        <v>3927.2727272727275</v>
      </c>
      <c r="AI67" s="28"/>
      <c r="AJ67" s="28"/>
      <c r="AK67" s="28"/>
      <c r="AL67" s="28"/>
      <c r="AO67" s="6"/>
    </row>
    <row r="68" spans="27:41" x14ac:dyDescent="0.3">
      <c r="AA68" s="7">
        <f t="shared" si="37"/>
        <v>6</v>
      </c>
      <c r="AB68">
        <f>AB78*$AF40</f>
        <v>42000</v>
      </c>
      <c r="AC68">
        <f>AC78*$AF40</f>
        <v>87818.181818181809</v>
      </c>
      <c r="AD68">
        <f>AD78*$AF40</f>
        <v>43909.090909090904</v>
      </c>
      <c r="AE68">
        <f>AE78*$AF40</f>
        <v>42000</v>
      </c>
      <c r="AF68">
        <f>AF78*$AF40</f>
        <v>43909.090909090904</v>
      </c>
      <c r="AG68">
        <f>AG78*$AF40</f>
        <v>3818.181818181818</v>
      </c>
      <c r="AI68" s="28"/>
      <c r="AJ68" s="28"/>
      <c r="AK68" s="28"/>
      <c r="AL68" s="28"/>
      <c r="AO68" s="6"/>
    </row>
    <row r="69" spans="27:41" x14ac:dyDescent="0.3">
      <c r="AA69" s="7">
        <f t="shared" si="37"/>
        <v>7</v>
      </c>
      <c r="AB69">
        <f>AB79*$AF41</f>
        <v>41890.909090909088</v>
      </c>
      <c r="AC69">
        <f>AC79*$AF41</f>
        <v>92509.090909090912</v>
      </c>
      <c r="AD69">
        <f>AD79*$AF41</f>
        <v>41890.909090909088</v>
      </c>
      <c r="AE69">
        <f>AE79*$AF41</f>
        <v>38400</v>
      </c>
      <c r="AF69">
        <f>AF79*$AF41</f>
        <v>41890.909090909088</v>
      </c>
      <c r="AG69">
        <f>AG79*$AF41</f>
        <v>0</v>
      </c>
      <c r="AO69" s="6"/>
    </row>
    <row r="70" spans="27:41" x14ac:dyDescent="0.3">
      <c r="AA70" s="7"/>
      <c r="AO70" s="6"/>
    </row>
    <row r="71" spans="27:41" x14ac:dyDescent="0.3">
      <c r="AA71" s="7"/>
      <c r="AD71" t="s">
        <v>0</v>
      </c>
      <c r="AO71" s="6"/>
    </row>
    <row r="72" spans="27:41" x14ac:dyDescent="0.3">
      <c r="AA72" s="7" t="s">
        <v>32</v>
      </c>
      <c r="AC72" s="8">
        <v>21</v>
      </c>
      <c r="AD72">
        <v>22</v>
      </c>
      <c r="AE72">
        <v>23</v>
      </c>
      <c r="AF72">
        <v>24</v>
      </c>
      <c r="AG72">
        <v>25</v>
      </c>
      <c r="AO72" s="6"/>
    </row>
    <row r="73" spans="27:41" x14ac:dyDescent="0.3">
      <c r="AA73" s="7">
        <v>1</v>
      </c>
      <c r="AB73">
        <f>ROUNDUP(AB45/$AF35,0)</f>
        <v>15</v>
      </c>
      <c r="AC73">
        <f>ROUNDUP(AC45/$AF35,0)</f>
        <v>36</v>
      </c>
      <c r="AD73">
        <f>ROUNDUP(AD45/$AF35,0)</f>
        <v>18</v>
      </c>
      <c r="AE73">
        <f>ROUNDUP(AE45/$AF35,0)</f>
        <v>13</v>
      </c>
      <c r="AF73">
        <f>ROUNDUP(AF45/$AF35,0)</f>
        <v>14</v>
      </c>
      <c r="AG73">
        <f>ROUNDUP(AG45/$AF35,0)</f>
        <v>3</v>
      </c>
      <c r="AO73" s="6"/>
    </row>
    <row r="74" spans="27:41" x14ac:dyDescent="0.3">
      <c r="AA74" s="7">
        <f t="shared" ref="AA74:AA79" si="38">AA73+1</f>
        <v>2</v>
      </c>
      <c r="AB74">
        <f>ROUNDUP(AB46/$AF36,0)</f>
        <v>20</v>
      </c>
      <c r="AC74">
        <f>ROUNDUP(AC46/$AF36,0)</f>
        <v>35</v>
      </c>
      <c r="AD74">
        <f>ROUNDUP(AD46/$AF36,0)</f>
        <v>23</v>
      </c>
      <c r="AE74">
        <f>ROUNDUP(AE46/$AF36,0)</f>
        <v>15</v>
      </c>
      <c r="AF74">
        <f>ROUNDUP(AF46/$AF36,0)</f>
        <v>18</v>
      </c>
      <c r="AG74">
        <f>ROUNDUP(AG46/$AF36,0)</f>
        <v>3</v>
      </c>
      <c r="AO74" s="6"/>
    </row>
    <row r="75" spans="27:41" x14ac:dyDescent="0.3">
      <c r="AA75" s="7">
        <f t="shared" si="38"/>
        <v>3</v>
      </c>
      <c r="AB75">
        <f>ROUNDUP(AB47/$AF37,0)</f>
        <v>15</v>
      </c>
      <c r="AC75">
        <f>ROUNDUP(AC47/$AF37,0)</f>
        <v>29</v>
      </c>
      <c r="AD75">
        <f>ROUNDUP(AD47/$AF37,0)</f>
        <v>18</v>
      </c>
      <c r="AE75">
        <f>ROUNDUP(AE47/$AF37,0)</f>
        <v>10</v>
      </c>
      <c r="AF75">
        <f>ROUNDUP(AF47/$AF37,0)</f>
        <v>12</v>
      </c>
      <c r="AG75">
        <f>ROUNDUP(AG47/$AF37,0)</f>
        <v>2</v>
      </c>
      <c r="AO75" s="6"/>
    </row>
    <row r="76" spans="27:41" x14ac:dyDescent="0.3">
      <c r="AA76" s="7">
        <f t="shared" si="38"/>
        <v>4</v>
      </c>
      <c r="AB76">
        <f>ROUNDUP(AB48/$AF38,0)</f>
        <v>24</v>
      </c>
      <c r="AC76">
        <f>ROUNDUP(AC48/$AF38,0)</f>
        <v>55</v>
      </c>
      <c r="AD76">
        <f>ROUNDUP(AD48/$AF38,0)</f>
        <v>25</v>
      </c>
      <c r="AE76">
        <f>ROUNDUP(AE48/$AF38,0)</f>
        <v>24</v>
      </c>
      <c r="AF76">
        <f>ROUNDUP(AF48/$AF38,0)</f>
        <v>25</v>
      </c>
      <c r="AG76">
        <f>ROUNDUP(AG48/$AF38,0)</f>
        <v>1</v>
      </c>
      <c r="AO76" s="6"/>
    </row>
    <row r="77" spans="27:41" x14ac:dyDescent="0.3">
      <c r="AA77" s="7">
        <f t="shared" si="38"/>
        <v>5</v>
      </c>
      <c r="AB77">
        <f>ROUNDUP(AB49/$AF39,0)</f>
        <v>30</v>
      </c>
      <c r="AC77">
        <f>ROUNDUP(AC49/$AF39,0)</f>
        <v>58</v>
      </c>
      <c r="AD77">
        <f>ROUNDUP(AD49/$AF39,0)</f>
        <v>32</v>
      </c>
      <c r="AE77">
        <f>ROUNDUP(AE49/$AF39,0)</f>
        <v>25</v>
      </c>
      <c r="AF77">
        <f>ROUNDUP(AF49/$AF39,0)</f>
        <v>29</v>
      </c>
      <c r="AG77">
        <f>ROUNDUP(AG49/$AF39,0)</f>
        <v>2</v>
      </c>
      <c r="AO77" s="6"/>
    </row>
    <row r="78" spans="27:41" x14ac:dyDescent="0.3">
      <c r="AA78" s="7">
        <f t="shared" si="38"/>
        <v>6</v>
      </c>
      <c r="AB78">
        <f>ROUNDUP(AB50/$AF40,0)</f>
        <v>22</v>
      </c>
      <c r="AC78">
        <f>ROUNDUP(AC50/$AF40,0)</f>
        <v>46</v>
      </c>
      <c r="AD78">
        <f>ROUNDUP(AD50/$AF40,0)</f>
        <v>23</v>
      </c>
      <c r="AE78">
        <f>ROUNDUP(AE50/$AF40,0)</f>
        <v>22</v>
      </c>
      <c r="AF78">
        <f>ROUNDUP(AF50/$AF40,0)</f>
        <v>23</v>
      </c>
      <c r="AG78">
        <f>ROUNDUP(AG50/$AF40,0)</f>
        <v>2</v>
      </c>
      <c r="AO78" s="6"/>
    </row>
    <row r="79" spans="27:41" x14ac:dyDescent="0.3">
      <c r="AA79" s="7">
        <f t="shared" si="38"/>
        <v>7</v>
      </c>
      <c r="AB79">
        <f>ROUNDUP(AB51/$AF41,0)</f>
        <v>24</v>
      </c>
      <c r="AC79">
        <f>ROUNDUP(AC51/$AF41,0)</f>
        <v>53</v>
      </c>
      <c r="AD79">
        <f>ROUNDUP(AD51/$AF41,0)</f>
        <v>24</v>
      </c>
      <c r="AE79">
        <f>ROUNDUP(AE51/$AF41,0)</f>
        <v>22</v>
      </c>
      <c r="AF79">
        <f>ROUNDUP(AF51/$AF41,0)</f>
        <v>24</v>
      </c>
      <c r="AG79">
        <f>ROUNDUP(AG51/$AF41,0)</f>
        <v>0</v>
      </c>
      <c r="AO79" s="6"/>
    </row>
    <row r="80" spans="27:41" x14ac:dyDescent="0.3">
      <c r="AA80" s="7"/>
      <c r="AO80" s="6"/>
    </row>
    <row r="81" spans="27:41" x14ac:dyDescent="0.3">
      <c r="AA81" s="1"/>
      <c r="AB81" s="2"/>
      <c r="AC81" s="2"/>
      <c r="AD81" s="2"/>
      <c r="AE81" s="2" t="s">
        <v>0</v>
      </c>
      <c r="AF81" s="2"/>
      <c r="AG81" s="3"/>
      <c r="AO81" s="6"/>
    </row>
    <row r="82" spans="27:41" x14ac:dyDescent="0.3">
      <c r="AA82" s="7" t="s">
        <v>77</v>
      </c>
      <c r="AC82" s="8">
        <v>21</v>
      </c>
      <c r="AD82">
        <v>22</v>
      </c>
      <c r="AE82">
        <v>23</v>
      </c>
      <c r="AF82">
        <v>24</v>
      </c>
      <c r="AG82">
        <v>25</v>
      </c>
      <c r="AO82" s="6"/>
    </row>
    <row r="83" spans="27:41" x14ac:dyDescent="0.3">
      <c r="AA83" s="7" t="s">
        <v>78</v>
      </c>
      <c r="AB83">
        <f>AB73</f>
        <v>15</v>
      </c>
      <c r="AC83">
        <f t="shared" ref="AC83:AG83" si="39">AC73</f>
        <v>36</v>
      </c>
      <c r="AD83">
        <f t="shared" si="39"/>
        <v>18</v>
      </c>
      <c r="AE83">
        <f t="shared" si="39"/>
        <v>13</v>
      </c>
      <c r="AF83">
        <f t="shared" si="39"/>
        <v>14</v>
      </c>
      <c r="AG83" s="6">
        <f t="shared" si="39"/>
        <v>3</v>
      </c>
      <c r="AH83" s="29">
        <f>SUM(AC83:AG83)</f>
        <v>84</v>
      </c>
      <c r="AO83" s="6"/>
    </row>
    <row r="84" spans="27:41" x14ac:dyDescent="0.3">
      <c r="AA84" s="7" t="s">
        <v>79</v>
      </c>
      <c r="AB84">
        <f>IF($AG$35-AB73&gt;0,$AG$35-AB73,0)</f>
        <v>0</v>
      </c>
      <c r="AC84">
        <f>IF(AB83-AC83&gt;0,AB83-AC83,0)</f>
        <v>0</v>
      </c>
      <c r="AD84">
        <f>IF(AC83-AD83&gt;0,AC83-AD83,0)</f>
        <v>18</v>
      </c>
      <c r="AE84">
        <f>IF(AD83-AE83&gt;0,AD83-AE83,0)</f>
        <v>5</v>
      </c>
      <c r="AF84">
        <f>IF(AE83-AF83&gt;0,AE83-AF83,0)</f>
        <v>0</v>
      </c>
      <c r="AG84" s="6">
        <f>IF(AF83-AG83&gt;0,AF83-AG83,0)</f>
        <v>11</v>
      </c>
      <c r="AH84" s="29">
        <f>SUM(AB84:AG84)</f>
        <v>34</v>
      </c>
      <c r="AO84" s="6"/>
    </row>
    <row r="85" spans="27:41" x14ac:dyDescent="0.3">
      <c r="AA85" s="7" t="s">
        <v>80</v>
      </c>
      <c r="AB85">
        <f>IF($AG$35-AB73&lt;0,-($AG$35-AB73),0)</f>
        <v>5</v>
      </c>
      <c r="AC85">
        <f>IF(AB83-AC83&lt;0,AC83-AB83,0)</f>
        <v>21</v>
      </c>
      <c r="AD85">
        <f>IF(AC83-AD83&lt;0,AD83-AC83,0)</f>
        <v>0</v>
      </c>
      <c r="AE85">
        <f>IF(AD83-AE83&lt;0,AE83-AD83,0)</f>
        <v>0</v>
      </c>
      <c r="AF85">
        <f>IF(AE83-AF83&lt;0,AF83-AE83,0)</f>
        <v>1</v>
      </c>
      <c r="AG85" s="6">
        <f>IF(AF83-AG83&lt;0,AG83-AF83,0)</f>
        <v>0</v>
      </c>
      <c r="AH85" s="29">
        <f t="shared" ref="AH85" si="40">SUM(AC85:AG85)</f>
        <v>22</v>
      </c>
      <c r="AO85" s="6"/>
    </row>
    <row r="86" spans="27:41" x14ac:dyDescent="0.3">
      <c r="AA86" s="7"/>
      <c r="AG86" s="6"/>
      <c r="AH86" s="29">
        <f>SUM(AB86:AG86)</f>
        <v>0</v>
      </c>
      <c r="AO86" s="6"/>
    </row>
    <row r="87" spans="27:41" x14ac:dyDescent="0.3">
      <c r="AA87" s="7"/>
      <c r="AE87" t="s">
        <v>0</v>
      </c>
      <c r="AG87" s="6"/>
      <c r="AH87" s="29">
        <f t="shared" ref="AH87" si="41">SUM(AC87:AG87)</f>
        <v>0</v>
      </c>
      <c r="AO87" s="6"/>
    </row>
    <row r="88" spans="27:41" x14ac:dyDescent="0.3">
      <c r="AA88" s="7" t="s">
        <v>81</v>
      </c>
      <c r="AC88" s="8">
        <v>21</v>
      </c>
      <c r="AD88">
        <v>22</v>
      </c>
      <c r="AE88">
        <v>23</v>
      </c>
      <c r="AF88">
        <v>24</v>
      </c>
      <c r="AG88">
        <v>25</v>
      </c>
      <c r="AH88" s="29">
        <f>SUM(AB88:AG88)</f>
        <v>115</v>
      </c>
      <c r="AO88" s="6"/>
    </row>
    <row r="89" spans="27:41" x14ac:dyDescent="0.3">
      <c r="AA89" s="7" t="s">
        <v>78</v>
      </c>
      <c r="AB89">
        <f>AB74</f>
        <v>20</v>
      </c>
      <c r="AC89">
        <f>AC79</f>
        <v>53</v>
      </c>
      <c r="AD89">
        <f>AD79</f>
        <v>24</v>
      </c>
      <c r="AE89">
        <f>AE79</f>
        <v>22</v>
      </c>
      <c r="AF89">
        <f>AF79</f>
        <v>24</v>
      </c>
      <c r="AG89" s="6">
        <f>AG79</f>
        <v>0</v>
      </c>
      <c r="AH89" s="29">
        <f t="shared" ref="AH89" si="42">SUM(AC89:AG89)</f>
        <v>123</v>
      </c>
      <c r="AO89" s="6"/>
    </row>
    <row r="90" spans="27:41" x14ac:dyDescent="0.3">
      <c r="AA90" s="7" t="s">
        <v>79</v>
      </c>
      <c r="AB90">
        <f>IF($AG$36-AB74&gt;0,$AG$36-AB74,0)</f>
        <v>0</v>
      </c>
      <c r="AC90">
        <f>IF(AB89-AC89&gt;0,AB89-AC89,0)</f>
        <v>0</v>
      </c>
      <c r="AD90">
        <f>IF(AC89-AD89&gt;0,AC89-AD89,0)</f>
        <v>29</v>
      </c>
      <c r="AE90">
        <f>IF(AD89-AE89&gt;0,AD89-AE89,0)</f>
        <v>2</v>
      </c>
      <c r="AF90">
        <f>IF(AE89-AF89&gt;0,AE89-AF89,0)</f>
        <v>0</v>
      </c>
      <c r="AG90" s="6">
        <f>IF(AF89-AG89&gt;0,AF89-AG89,0)</f>
        <v>24</v>
      </c>
      <c r="AH90" s="29">
        <f>SUM(AB90:AG90)</f>
        <v>55</v>
      </c>
      <c r="AO90" s="6"/>
    </row>
    <row r="91" spans="27:41" x14ac:dyDescent="0.3">
      <c r="AA91" s="7" t="s">
        <v>80</v>
      </c>
      <c r="AB91">
        <f>IF($AG$36-AB74&lt;0,-($AG$36-AB74),0)</f>
        <v>0</v>
      </c>
      <c r="AC91">
        <f>IF(AB89-AC89&lt;0,AC89-AB89,0)</f>
        <v>33</v>
      </c>
      <c r="AD91">
        <f>IF(AC89-AD89&lt;0,AD89-AC89,0)</f>
        <v>0</v>
      </c>
      <c r="AE91">
        <f>IF(AD89-AE89&lt;0,AE89-AD89,0)</f>
        <v>0</v>
      </c>
      <c r="AF91">
        <f>IF(AE89-AF89&lt;0,AF89-AE89,0)</f>
        <v>2</v>
      </c>
      <c r="AG91" s="6">
        <f>IF(AF89-AG89&lt;0,AG89-AF89,0)</f>
        <v>0</v>
      </c>
      <c r="AH91" s="29">
        <f t="shared" ref="AH91" si="43">SUM(AC91:AG91)</f>
        <v>35</v>
      </c>
      <c r="AO91" s="6"/>
    </row>
    <row r="92" spans="27:41" x14ac:dyDescent="0.3">
      <c r="AA92" s="7"/>
      <c r="AG92" s="6"/>
      <c r="AH92" s="29">
        <f>SUM(AB92:AG92)</f>
        <v>0</v>
      </c>
      <c r="AO92" s="6"/>
    </row>
    <row r="93" spans="27:41" x14ac:dyDescent="0.3">
      <c r="AA93" s="7"/>
      <c r="AE93" t="s">
        <v>0</v>
      </c>
      <c r="AG93" s="6"/>
      <c r="AH93" s="29">
        <f t="shared" ref="AH93" si="44">SUM(AC93:AG93)</f>
        <v>0</v>
      </c>
      <c r="AO93" s="6"/>
    </row>
    <row r="94" spans="27:41" x14ac:dyDescent="0.3">
      <c r="AA94" s="7" t="s">
        <v>82</v>
      </c>
      <c r="AC94" s="8">
        <v>21</v>
      </c>
      <c r="AD94">
        <v>22</v>
      </c>
      <c r="AE94">
        <v>23</v>
      </c>
      <c r="AF94">
        <v>24</v>
      </c>
      <c r="AG94">
        <v>25</v>
      </c>
      <c r="AH94" s="29">
        <f>SUM(AB94:AG94)</f>
        <v>115</v>
      </c>
      <c r="AO94" s="6"/>
    </row>
    <row r="95" spans="27:41" x14ac:dyDescent="0.3">
      <c r="AA95" s="7" t="s">
        <v>78</v>
      </c>
      <c r="AB95">
        <f t="shared" ref="AB95:AG95" si="45">AB75</f>
        <v>15</v>
      </c>
      <c r="AC95">
        <f t="shared" si="45"/>
        <v>29</v>
      </c>
      <c r="AD95">
        <f t="shared" si="45"/>
        <v>18</v>
      </c>
      <c r="AE95">
        <f t="shared" si="45"/>
        <v>10</v>
      </c>
      <c r="AF95">
        <f t="shared" si="45"/>
        <v>12</v>
      </c>
      <c r="AG95" s="6">
        <f t="shared" si="45"/>
        <v>2</v>
      </c>
      <c r="AH95" s="29">
        <f t="shared" ref="AH95" si="46">SUM(AC95:AG95)</f>
        <v>71</v>
      </c>
      <c r="AO95" s="6"/>
    </row>
    <row r="96" spans="27:41" x14ac:dyDescent="0.3">
      <c r="AA96" s="7" t="s">
        <v>79</v>
      </c>
      <c r="AB96">
        <f>IF($AG$37-AB75&gt;0,$AG$37-AB75,0)</f>
        <v>0</v>
      </c>
      <c r="AC96">
        <f>IF(AB95-AC95&gt;0,AB95-AC95,0)</f>
        <v>0</v>
      </c>
      <c r="AD96">
        <f>IF(AC95-AD95&gt;0,AC95-AD95,0)</f>
        <v>11</v>
      </c>
      <c r="AE96">
        <f>IF(AD95-AE95&gt;0,AD95-AE95,0)</f>
        <v>8</v>
      </c>
      <c r="AF96">
        <f>IF(AE95-AF95&gt;0,AE95-AF95,0)</f>
        <v>0</v>
      </c>
      <c r="AG96" s="6">
        <f>IF(AF95-AG95&gt;0,AF95-AG95,0)</f>
        <v>10</v>
      </c>
      <c r="AH96" s="29">
        <f>SUM(AB96:AG96)</f>
        <v>29</v>
      </c>
      <c r="AO96" s="6"/>
    </row>
    <row r="97" spans="27:41" x14ac:dyDescent="0.3">
      <c r="AA97" s="7" t="s">
        <v>80</v>
      </c>
      <c r="AB97">
        <f>IF($AG$37-AB75&lt;0,-($AG$37-AB75),0)</f>
        <v>5</v>
      </c>
      <c r="AC97">
        <f>IF(AB95-AC95&lt;0,AC95-AB95,0)</f>
        <v>14</v>
      </c>
      <c r="AD97">
        <f>IF(AC95-AD95&lt;0,AD95-AC95,0)</f>
        <v>0</v>
      </c>
      <c r="AE97">
        <f>IF(AD95-AE95&lt;0,AE95-AD95,0)</f>
        <v>0</v>
      </c>
      <c r="AF97">
        <f>IF(AE95-AF95&lt;0,AF95-AE95,0)</f>
        <v>2</v>
      </c>
      <c r="AG97" s="6">
        <f>IF(AF95-AG95&lt;0,AG95-AF95,0)</f>
        <v>0</v>
      </c>
      <c r="AH97" s="29">
        <f t="shared" ref="AH97" si="47">SUM(AC97:AG97)</f>
        <v>16</v>
      </c>
      <c r="AO97" s="6"/>
    </row>
    <row r="98" spans="27:41" x14ac:dyDescent="0.3">
      <c r="AA98" s="7"/>
      <c r="AG98" s="6"/>
      <c r="AH98" s="29">
        <f>SUM(AB98:AG98)</f>
        <v>0</v>
      </c>
      <c r="AO98" s="6"/>
    </row>
    <row r="99" spans="27:41" x14ac:dyDescent="0.3">
      <c r="AA99" s="7"/>
      <c r="AE99" t="s">
        <v>0</v>
      </c>
      <c r="AG99" s="6"/>
      <c r="AH99" s="29">
        <f t="shared" ref="AH99" si="48">SUM(AC99:AG99)</f>
        <v>0</v>
      </c>
      <c r="AO99" s="6"/>
    </row>
    <row r="100" spans="27:41" x14ac:dyDescent="0.3">
      <c r="AA100" s="7" t="s">
        <v>83</v>
      </c>
      <c r="AC100" s="8">
        <v>21</v>
      </c>
      <c r="AD100">
        <v>22</v>
      </c>
      <c r="AE100">
        <v>23</v>
      </c>
      <c r="AF100">
        <v>24</v>
      </c>
      <c r="AG100">
        <v>25</v>
      </c>
      <c r="AH100" s="29">
        <f>SUM(AB100:AG100)</f>
        <v>115</v>
      </c>
      <c r="AO100" s="6"/>
    </row>
    <row r="101" spans="27:41" x14ac:dyDescent="0.3">
      <c r="AA101" s="7" t="s">
        <v>78</v>
      </c>
      <c r="AB101">
        <f t="shared" ref="AB101:AG101" si="49">AB77</f>
        <v>30</v>
      </c>
      <c r="AC101">
        <f t="shared" si="49"/>
        <v>58</v>
      </c>
      <c r="AD101">
        <f t="shared" si="49"/>
        <v>32</v>
      </c>
      <c r="AE101">
        <f t="shared" si="49"/>
        <v>25</v>
      </c>
      <c r="AF101">
        <f t="shared" si="49"/>
        <v>29</v>
      </c>
      <c r="AG101" s="6">
        <f t="shared" si="49"/>
        <v>2</v>
      </c>
      <c r="AH101" s="29">
        <f t="shared" ref="AH101" si="50">SUM(AC101:AG101)</f>
        <v>146</v>
      </c>
      <c r="AO101" s="6"/>
    </row>
    <row r="102" spans="27:41" x14ac:dyDescent="0.3">
      <c r="AA102" s="7" t="s">
        <v>79</v>
      </c>
      <c r="AB102">
        <f>IF($AG$38-AB76&gt;0,$AG$38-AB76,0)</f>
        <v>0</v>
      </c>
      <c r="AC102">
        <f>IF(AB101-AC101&gt;0,AB101-AC101,0)</f>
        <v>0</v>
      </c>
      <c r="AD102">
        <f>IF(AC101-AD101&gt;0,AC101-AD101,0)</f>
        <v>26</v>
      </c>
      <c r="AE102">
        <f>IF(AD101-AE101&gt;0,AD101-AE101,0)</f>
        <v>7</v>
      </c>
      <c r="AF102">
        <f>IF(AE101-AF101&gt;0,AE101-AF101,0)</f>
        <v>0</v>
      </c>
      <c r="AG102" s="6">
        <f>IF(AF101-AG101&gt;0,AF101-AG101,0)</f>
        <v>27</v>
      </c>
      <c r="AH102" s="29">
        <f>SUM(AB102:AG102)</f>
        <v>60</v>
      </c>
      <c r="AO102" s="6"/>
    </row>
    <row r="103" spans="27:41" x14ac:dyDescent="0.3">
      <c r="AA103" s="7" t="s">
        <v>80</v>
      </c>
      <c r="AB103">
        <f>IF($AG$38-AB76&lt;0,-($AG$38-AB76),0)</f>
        <v>9</v>
      </c>
      <c r="AC103">
        <f>IF(AB101-AC101&lt;0,AC101-AB101,0)</f>
        <v>28</v>
      </c>
      <c r="AD103">
        <f>IF(AC101-AD101&lt;0,AD101-AC101,0)</f>
        <v>0</v>
      </c>
      <c r="AE103">
        <f>IF(AD101-AE101&lt;0,AE101-AD101,0)</f>
        <v>0</v>
      </c>
      <c r="AF103">
        <f>IF(AE101-AF101&lt;0,AF101-AE101,0)</f>
        <v>4</v>
      </c>
      <c r="AG103" s="6">
        <f>IF(AF101-AG101&lt;0,AG101-AF101,0)</f>
        <v>0</v>
      </c>
      <c r="AH103" s="29">
        <f t="shared" ref="AH103" si="51">SUM(AC103:AG103)</f>
        <v>32</v>
      </c>
      <c r="AO103" s="6"/>
    </row>
    <row r="104" spans="27:41" x14ac:dyDescent="0.3">
      <c r="AA104" s="7"/>
      <c r="AG104" s="6"/>
      <c r="AH104" s="29">
        <f>SUM(AB104:AG104)</f>
        <v>0</v>
      </c>
      <c r="AO104" s="6"/>
    </row>
    <row r="105" spans="27:41" x14ac:dyDescent="0.3">
      <c r="AA105" s="7"/>
      <c r="AE105" t="s">
        <v>0</v>
      </c>
      <c r="AG105" s="6"/>
      <c r="AH105" s="29">
        <f t="shared" ref="AH105" si="52">SUM(AC105:AG105)</f>
        <v>0</v>
      </c>
      <c r="AO105" s="6"/>
    </row>
    <row r="106" spans="27:41" x14ac:dyDescent="0.3">
      <c r="AA106" s="7" t="s">
        <v>84</v>
      </c>
      <c r="AC106" s="8">
        <v>21</v>
      </c>
      <c r="AD106">
        <v>22</v>
      </c>
      <c r="AE106">
        <v>23</v>
      </c>
      <c r="AF106">
        <v>24</v>
      </c>
      <c r="AG106">
        <v>25</v>
      </c>
      <c r="AH106" s="29">
        <f>SUM(AB106:AG106)</f>
        <v>115</v>
      </c>
      <c r="AO106" s="6"/>
    </row>
    <row r="107" spans="27:41" x14ac:dyDescent="0.3">
      <c r="AA107" s="7" t="s">
        <v>78</v>
      </c>
      <c r="AB107">
        <f t="shared" ref="AB107:AG107" si="53">AB77</f>
        <v>30</v>
      </c>
      <c r="AC107">
        <f t="shared" si="53"/>
        <v>58</v>
      </c>
      <c r="AD107">
        <f t="shared" si="53"/>
        <v>32</v>
      </c>
      <c r="AE107">
        <f t="shared" si="53"/>
        <v>25</v>
      </c>
      <c r="AF107">
        <f t="shared" si="53"/>
        <v>29</v>
      </c>
      <c r="AG107" s="6">
        <f t="shared" si="53"/>
        <v>2</v>
      </c>
      <c r="AH107" s="29">
        <f t="shared" ref="AH107" si="54">SUM(AC107:AG107)</f>
        <v>146</v>
      </c>
      <c r="AO107" s="6"/>
    </row>
    <row r="108" spans="27:41" x14ac:dyDescent="0.3">
      <c r="AA108" s="7" t="s">
        <v>79</v>
      </c>
      <c r="AB108">
        <f>IF($AG$39-AB77&gt;0,$AG$39-AB77,0)</f>
        <v>0</v>
      </c>
      <c r="AC108">
        <f>IF(AB107-AC107&gt;0,AB107-AC107,0)</f>
        <v>0</v>
      </c>
      <c r="AD108">
        <f>IF(AC107-AD107&gt;0,AC107-AD107,0)</f>
        <v>26</v>
      </c>
      <c r="AE108">
        <f>IF(AD107-AE107&gt;0,AD107-AE107,0)</f>
        <v>7</v>
      </c>
      <c r="AF108">
        <f>IF(AE107-AF107&gt;0,AE107-AF107,0)</f>
        <v>0</v>
      </c>
      <c r="AG108" s="6">
        <f>IF(AF107-AG107&gt;0,AF107-AG107,0)</f>
        <v>27</v>
      </c>
      <c r="AH108" s="29">
        <f>SUM(AB108:AG108)</f>
        <v>60</v>
      </c>
      <c r="AO108" s="6"/>
    </row>
    <row r="109" spans="27:41" x14ac:dyDescent="0.3">
      <c r="AA109" s="7" t="s">
        <v>80</v>
      </c>
      <c r="AB109">
        <f>IF($AG$39-AB77&lt;0,-($AG$39-AB77),0)</f>
        <v>15</v>
      </c>
      <c r="AC109">
        <f>IF(AB107-AC107&lt;0,AC107-AB107,0)</f>
        <v>28</v>
      </c>
      <c r="AD109">
        <f>IF(AC107-AD107&lt;0,AD107-AC107,0)</f>
        <v>0</v>
      </c>
      <c r="AE109">
        <f>IF(AD107-AE107&lt;0,AE107-AD107,0)</f>
        <v>0</v>
      </c>
      <c r="AF109">
        <f>IF(AE107-AF107&lt;0,AF107-AE107,0)</f>
        <v>4</v>
      </c>
      <c r="AG109" s="6">
        <f>IF(AF107-AG107&lt;0,AG107-AF107,0)</f>
        <v>0</v>
      </c>
      <c r="AH109" s="29">
        <f t="shared" ref="AH109" si="55">SUM(AC109:AG109)</f>
        <v>32</v>
      </c>
      <c r="AO109" s="6"/>
    </row>
    <row r="110" spans="27:41" x14ac:dyDescent="0.3">
      <c r="AA110" s="7"/>
      <c r="AG110" s="6"/>
      <c r="AH110" s="29">
        <f>SUM(AB110:AG110)</f>
        <v>0</v>
      </c>
      <c r="AO110" s="6"/>
    </row>
    <row r="111" spans="27:41" x14ac:dyDescent="0.3">
      <c r="AA111" s="7"/>
      <c r="AE111" t="s">
        <v>0</v>
      </c>
      <c r="AG111" s="6"/>
      <c r="AH111" s="29">
        <f t="shared" ref="AH111" si="56">SUM(AC111:AG111)</f>
        <v>0</v>
      </c>
      <c r="AO111" s="6"/>
    </row>
    <row r="112" spans="27:41" x14ac:dyDescent="0.3">
      <c r="AA112" s="7" t="s">
        <v>85</v>
      </c>
      <c r="AC112" s="8">
        <v>21</v>
      </c>
      <c r="AD112">
        <v>22</v>
      </c>
      <c r="AE112">
        <v>23</v>
      </c>
      <c r="AF112">
        <v>24</v>
      </c>
      <c r="AG112">
        <v>25</v>
      </c>
      <c r="AH112" s="29">
        <f>SUM(AB112:AG112)</f>
        <v>115</v>
      </c>
      <c r="AO112" s="6"/>
    </row>
    <row r="113" spans="27:41" x14ac:dyDescent="0.3">
      <c r="AA113" s="7" t="s">
        <v>78</v>
      </c>
      <c r="AB113">
        <f t="shared" ref="AB113:AG113" si="57">AB78</f>
        <v>22</v>
      </c>
      <c r="AC113">
        <f t="shared" si="57"/>
        <v>46</v>
      </c>
      <c r="AD113">
        <f t="shared" si="57"/>
        <v>23</v>
      </c>
      <c r="AE113">
        <f t="shared" si="57"/>
        <v>22</v>
      </c>
      <c r="AF113">
        <f t="shared" si="57"/>
        <v>23</v>
      </c>
      <c r="AG113" s="6">
        <f t="shared" si="57"/>
        <v>2</v>
      </c>
      <c r="AH113" s="29">
        <f t="shared" ref="AH113" si="58">SUM(AC113:AG113)</f>
        <v>116</v>
      </c>
      <c r="AO113" s="6"/>
    </row>
    <row r="114" spans="27:41" x14ac:dyDescent="0.3">
      <c r="AA114" s="7" t="s">
        <v>79</v>
      </c>
      <c r="AB114">
        <f>IF($AG$40-AB78&gt;0,$AG$40-AB78,0)</f>
        <v>0</v>
      </c>
      <c r="AC114">
        <f>IF(AB113-AC113&gt;0,AB113-AC113,0)</f>
        <v>0</v>
      </c>
      <c r="AD114">
        <f>IF(AC113-AD113&gt;0,AC113-AD113,0)</f>
        <v>23</v>
      </c>
      <c r="AE114">
        <f>IF(AD113-AE113&gt;0,AD113-AE113,0)</f>
        <v>1</v>
      </c>
      <c r="AF114">
        <f>IF(AE113-AF113&gt;0,AE113-AF113,0)</f>
        <v>0</v>
      </c>
      <c r="AG114" s="6">
        <f>IF(AF113-AG113&gt;0,AF113-AG113,0)</f>
        <v>21</v>
      </c>
      <c r="AH114" s="29">
        <f>SUM(AB114:AG114)</f>
        <v>45</v>
      </c>
      <c r="AO114" s="6"/>
    </row>
    <row r="115" spans="27:41" x14ac:dyDescent="0.3">
      <c r="AA115" s="7" t="s">
        <v>80</v>
      </c>
      <c r="AB115">
        <f>IF($AG$40-AB78&lt;0,-($AG$40-AB78),0)</f>
        <v>2</v>
      </c>
      <c r="AC115">
        <f>IF(AB113-AC113&lt;0,AC113-AB113,0)</f>
        <v>24</v>
      </c>
      <c r="AD115">
        <f>IF(AC113-AD113&lt;0,AD113-AC113,0)</f>
        <v>0</v>
      </c>
      <c r="AE115">
        <f>IF(AD113-AE113&lt;0,AE113-AD113,0)</f>
        <v>0</v>
      </c>
      <c r="AF115">
        <f>IF(AE113-AF113&lt;0,AF113-AE113,0)</f>
        <v>1</v>
      </c>
      <c r="AG115" s="6">
        <f>IF(AF113-AG113&lt;0,AG113-AF113,0)</f>
        <v>0</v>
      </c>
      <c r="AH115" s="29">
        <f t="shared" ref="AH115" si="59">SUM(AC115:AG115)</f>
        <v>25</v>
      </c>
      <c r="AO115" s="6"/>
    </row>
    <row r="116" spans="27:41" x14ac:dyDescent="0.3">
      <c r="AA116" s="7"/>
      <c r="AG116" s="6"/>
      <c r="AH116" s="29">
        <f>SUM(AB116:AG116)</f>
        <v>0</v>
      </c>
      <c r="AO116" s="6"/>
    </row>
    <row r="117" spans="27:41" x14ac:dyDescent="0.3">
      <c r="AA117" s="7"/>
      <c r="AE117" t="s">
        <v>0</v>
      </c>
      <c r="AG117" s="6"/>
      <c r="AH117" s="29">
        <f t="shared" ref="AH117" si="60">SUM(AC117:AG117)</f>
        <v>0</v>
      </c>
      <c r="AO117" s="6"/>
    </row>
    <row r="118" spans="27:41" x14ac:dyDescent="0.3">
      <c r="AA118" s="7" t="s">
        <v>86</v>
      </c>
      <c r="AC118" s="8">
        <v>21</v>
      </c>
      <c r="AD118">
        <v>22</v>
      </c>
      <c r="AE118">
        <v>23</v>
      </c>
      <c r="AF118">
        <v>24</v>
      </c>
      <c r="AG118">
        <v>25</v>
      </c>
      <c r="AH118" s="29">
        <f>SUM(AB118:AG118)</f>
        <v>115</v>
      </c>
      <c r="AO118" s="6"/>
    </row>
    <row r="119" spans="27:41" x14ac:dyDescent="0.3">
      <c r="AA119" s="7" t="s">
        <v>78</v>
      </c>
      <c r="AB119">
        <f t="shared" ref="AB119:AG119" si="61">AB79</f>
        <v>24</v>
      </c>
      <c r="AC119">
        <f t="shared" si="61"/>
        <v>53</v>
      </c>
      <c r="AD119">
        <f t="shared" si="61"/>
        <v>24</v>
      </c>
      <c r="AE119">
        <f t="shared" si="61"/>
        <v>22</v>
      </c>
      <c r="AF119">
        <f t="shared" si="61"/>
        <v>24</v>
      </c>
      <c r="AG119" s="6">
        <f t="shared" si="61"/>
        <v>0</v>
      </c>
      <c r="AH119" s="29">
        <f t="shared" ref="AH119" si="62">SUM(AC119:AG119)</f>
        <v>123</v>
      </c>
      <c r="AO119" s="6"/>
    </row>
    <row r="120" spans="27:41" x14ac:dyDescent="0.3">
      <c r="AA120" s="7" t="s">
        <v>79</v>
      </c>
      <c r="AB120">
        <f>IF($AG$41-AB79&gt;0,$AG$41-AB79,0)</f>
        <v>0</v>
      </c>
      <c r="AC120">
        <f>IF(AB119-AC119&gt;0,AB119-AC119,0)</f>
        <v>0</v>
      </c>
      <c r="AD120">
        <f>IF(AC119-AD119&gt;0,AC119-AD119,0)</f>
        <v>29</v>
      </c>
      <c r="AE120">
        <f>IF(AD119-AE119&gt;0,AD119-AE119,0)</f>
        <v>2</v>
      </c>
      <c r="AF120">
        <f>IF(AE119-AF119&gt;0,AE119-AF119,0)</f>
        <v>0</v>
      </c>
      <c r="AG120" s="6">
        <f>IF(AF119-AG119&gt;0,AF119-AG119,0)</f>
        <v>24</v>
      </c>
      <c r="AH120" s="29">
        <f>SUM(AB120:AG120)</f>
        <v>55</v>
      </c>
      <c r="AO120" s="6"/>
    </row>
    <row r="121" spans="27:41" x14ac:dyDescent="0.3">
      <c r="AA121" s="7" t="s">
        <v>80</v>
      </c>
      <c r="AB121">
        <f>IF($AG$41-AB79&lt;0,-($AG$41-AB79),0)</f>
        <v>19</v>
      </c>
      <c r="AC121">
        <f>IF(AB119-AC119&lt;0,AC119-AB119,0)</f>
        <v>29</v>
      </c>
      <c r="AD121">
        <f>IF(AC119-AD119&lt;0,AD119-AC119,0)</f>
        <v>0</v>
      </c>
      <c r="AE121">
        <f>IF(AD119-AE119&lt;0,AE119-AD119,0)</f>
        <v>0</v>
      </c>
      <c r="AF121">
        <f>IF(AE119-AF119&lt;0,AF119-AE119,0)</f>
        <v>2</v>
      </c>
      <c r="AG121" s="6">
        <f>IF(AF119-AG119&lt;0,AG119-AF119,0)</f>
        <v>0</v>
      </c>
      <c r="AH121" s="29">
        <f t="shared" ref="AH121" si="63">SUM(AC121:AG121)</f>
        <v>31</v>
      </c>
      <c r="AO121" s="6"/>
    </row>
    <row r="122" spans="27:41" x14ac:dyDescent="0.3">
      <c r="AA122" s="7"/>
      <c r="AG122" s="6"/>
      <c r="AO122" s="6"/>
    </row>
    <row r="123" spans="27:41" x14ac:dyDescent="0.3">
      <c r="AA123" s="7"/>
      <c r="AG123" s="6"/>
      <c r="AO123" s="6"/>
    </row>
    <row r="124" spans="27:41" x14ac:dyDescent="0.3">
      <c r="AA124" s="7" t="s">
        <v>87</v>
      </c>
      <c r="AB124">
        <f>SUM(AB85,AB91,AB97,AB103,AB109,AB115,AB121)</f>
        <v>55</v>
      </c>
      <c r="AC124">
        <f t="shared" ref="AC124:AG124" si="64">SUM(AC85,AC91,AC97,AC103,AC109,AC115,AC121)</f>
        <v>177</v>
      </c>
      <c r="AD124">
        <f t="shared" si="64"/>
        <v>0</v>
      </c>
      <c r="AE124">
        <f t="shared" si="64"/>
        <v>0</v>
      </c>
      <c r="AF124">
        <f t="shared" si="64"/>
        <v>16</v>
      </c>
      <c r="AG124" s="6">
        <f t="shared" si="64"/>
        <v>0</v>
      </c>
      <c r="AO124" s="6"/>
    </row>
    <row r="125" spans="27:41" x14ac:dyDescent="0.3">
      <c r="AA125" s="10" t="s">
        <v>88</v>
      </c>
      <c r="AB125" s="11">
        <f>SUM(AB84,AB90,AB96,AB102,AB108,AB114,AB120)</f>
        <v>0</v>
      </c>
      <c r="AC125" s="11">
        <f t="shared" ref="AC125:AG125" si="65">SUM(AC84,AC90,AC96,AC102,AC108,AC114,AC120)</f>
        <v>0</v>
      </c>
      <c r="AD125" s="11">
        <f t="shared" si="65"/>
        <v>162</v>
      </c>
      <c r="AE125" s="11">
        <f t="shared" si="65"/>
        <v>32</v>
      </c>
      <c r="AF125" s="11">
        <f t="shared" si="65"/>
        <v>0</v>
      </c>
      <c r="AG125" s="12">
        <f t="shared" si="65"/>
        <v>144</v>
      </c>
      <c r="AH125" s="11"/>
      <c r="AI125" s="11"/>
      <c r="AJ125" s="11"/>
      <c r="AK125" s="11"/>
      <c r="AL125" s="11"/>
      <c r="AM125" s="11"/>
      <c r="AN125" s="11"/>
      <c r="AO125" s="12"/>
    </row>
  </sheetData>
  <mergeCells count="1">
    <mergeCell ref="AI65:AL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MRP, MPS, Capacity Bills 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K A</dc:creator>
  <cp:lastModifiedBy>Naveen Kumar K A</cp:lastModifiedBy>
  <dcterms:created xsi:type="dcterms:W3CDTF">2024-05-03T20:30:58Z</dcterms:created>
  <dcterms:modified xsi:type="dcterms:W3CDTF">2024-05-05T01:12:41Z</dcterms:modified>
</cp:coreProperties>
</file>