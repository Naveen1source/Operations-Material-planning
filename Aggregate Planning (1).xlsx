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l_k/Desktop/"/>
    </mc:Choice>
  </mc:AlternateContent>
  <xr:revisionPtr revIDLastSave="0" documentId="13_ncr:1_{3EFD0475-DC5D-0F4A-9694-A92501864A9B}" xr6:coauthVersionLast="47" xr6:coauthVersionMax="47" xr10:uidLastSave="{00000000-0000-0000-0000-000000000000}"/>
  <bookViews>
    <workbookView xWindow="-36040" yWindow="-2160" windowWidth="29400" windowHeight="16680" activeTab="1" xr2:uid="{A81AE381-B0AC-D24A-A2AB-3B0FC80871EF}"/>
  </bookViews>
  <sheets>
    <sheet name="Level" sheetId="1" r:id="rId1"/>
    <sheet name="Chase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2" l="1"/>
  <c r="I51" i="2"/>
  <c r="G79" i="2"/>
  <c r="D63" i="2"/>
  <c r="E63" i="2"/>
  <c r="F63" i="2"/>
  <c r="G63" i="2"/>
  <c r="C63" i="2"/>
  <c r="D52" i="2"/>
  <c r="D47" i="2"/>
  <c r="E47" i="2"/>
  <c r="F47" i="2"/>
  <c r="G47" i="2"/>
  <c r="C47" i="2"/>
  <c r="F36" i="2"/>
  <c r="C37" i="2"/>
  <c r="D31" i="2"/>
  <c r="E31" i="2"/>
  <c r="F31" i="2"/>
  <c r="G31" i="2"/>
  <c r="C31" i="2"/>
  <c r="D15" i="2"/>
  <c r="E15" i="2"/>
  <c r="F15" i="2"/>
  <c r="G15" i="2"/>
  <c r="C15" i="2"/>
  <c r="H22" i="2"/>
  <c r="I22" i="2" s="1"/>
  <c r="H19" i="2"/>
  <c r="I19" i="2" s="1"/>
  <c r="C18" i="2"/>
  <c r="H16" i="2"/>
  <c r="H86" i="2"/>
  <c r="H83" i="2"/>
  <c r="I83" i="2" s="1"/>
  <c r="C82" i="2"/>
  <c r="C84" i="2" s="1"/>
  <c r="H84" i="2" s="1"/>
  <c r="I84" i="2" s="1"/>
  <c r="H81" i="2"/>
  <c r="H80" i="2"/>
  <c r="E79" i="2"/>
  <c r="E85" i="2" s="1"/>
  <c r="D79" i="2"/>
  <c r="C79" i="2"/>
  <c r="C85" i="2" s="1"/>
  <c r="C71" i="2"/>
  <c r="C72" i="2" s="1"/>
  <c r="I70" i="2"/>
  <c r="H70" i="2"/>
  <c r="C68" i="2"/>
  <c r="H68" i="2" s="1"/>
  <c r="I68" i="2" s="1"/>
  <c r="H67" i="2"/>
  <c r="H66" i="2"/>
  <c r="D65" i="2"/>
  <c r="E65" i="2" s="1"/>
  <c r="H64" i="2"/>
  <c r="C69" i="2"/>
  <c r="C56" i="2"/>
  <c r="H52" i="2"/>
  <c r="I52" i="2" s="1"/>
  <c r="C52" i="2"/>
  <c r="H51" i="2"/>
  <c r="D50" i="2"/>
  <c r="H49" i="2"/>
  <c r="H48" i="2"/>
  <c r="C54" i="2"/>
  <c r="F46" i="2"/>
  <c r="E46" i="2"/>
  <c r="E56" i="2" s="1"/>
  <c r="D46" i="2"/>
  <c r="D56" i="2" s="1"/>
  <c r="F40" i="2"/>
  <c r="C40" i="2"/>
  <c r="H39" i="2"/>
  <c r="H35" i="2"/>
  <c r="I35" i="2" s="1"/>
  <c r="E34" i="2"/>
  <c r="F34" i="2" s="1"/>
  <c r="D34" i="2"/>
  <c r="C34" i="2"/>
  <c r="C36" i="2" s="1"/>
  <c r="H36" i="2" s="1"/>
  <c r="I36" i="2" s="1"/>
  <c r="H33" i="2"/>
  <c r="H32" i="2"/>
  <c r="E37" i="2"/>
  <c r="G30" i="2"/>
  <c r="H30" i="2" s="1"/>
  <c r="H40" i="2" s="1"/>
  <c r="F30" i="2"/>
  <c r="E30" i="2"/>
  <c r="E40" i="2" s="1"/>
  <c r="D30" i="2"/>
  <c r="D40" i="2" s="1"/>
  <c r="K9" i="2"/>
  <c r="I87" i="1"/>
  <c r="I84" i="1"/>
  <c r="C84" i="1"/>
  <c r="C82" i="1"/>
  <c r="C79" i="1"/>
  <c r="F79" i="1" s="1"/>
  <c r="H86" i="1"/>
  <c r="I86" i="1" s="1"/>
  <c r="H84" i="1"/>
  <c r="H83" i="1"/>
  <c r="I83" i="1" s="1"/>
  <c r="H82" i="1"/>
  <c r="H80" i="1"/>
  <c r="D62" i="1"/>
  <c r="C71" i="1"/>
  <c r="C72" i="1" s="1"/>
  <c r="C69" i="1"/>
  <c r="H66" i="1"/>
  <c r="H67" i="1"/>
  <c r="H70" i="1"/>
  <c r="D65" i="1"/>
  <c r="E65" i="1" s="1"/>
  <c r="C68" i="1"/>
  <c r="H68" i="1" s="1"/>
  <c r="I68" i="1" s="1"/>
  <c r="D63" i="1"/>
  <c r="E63" i="1" s="1"/>
  <c r="F63" i="1" s="1"/>
  <c r="G63" i="1" s="1"/>
  <c r="C63" i="1"/>
  <c r="H63" i="1" s="1"/>
  <c r="I63" i="1" s="1"/>
  <c r="H64" i="1"/>
  <c r="I67" i="1"/>
  <c r="C47" i="1"/>
  <c r="G47" i="1" s="1"/>
  <c r="G53" i="1" s="1"/>
  <c r="C56" i="1"/>
  <c r="E40" i="1"/>
  <c r="C40" i="1"/>
  <c r="E30" i="1"/>
  <c r="F30" i="1"/>
  <c r="F40" i="1" s="1"/>
  <c r="G30" i="1"/>
  <c r="G40" i="1" s="1"/>
  <c r="D30" i="1"/>
  <c r="D40" i="1" s="1"/>
  <c r="H39" i="1"/>
  <c r="H51" i="1"/>
  <c r="I51" i="1" s="1"/>
  <c r="H48" i="1"/>
  <c r="D62" i="2" l="1"/>
  <c r="C23" i="2"/>
  <c r="C17" i="2"/>
  <c r="F53" i="2"/>
  <c r="C53" i="2"/>
  <c r="D85" i="2"/>
  <c r="G37" i="2"/>
  <c r="H37" i="2"/>
  <c r="I37" i="2" s="1"/>
  <c r="G53" i="2"/>
  <c r="H82" i="2"/>
  <c r="F37" i="2"/>
  <c r="C38" i="2"/>
  <c r="F79" i="2"/>
  <c r="H34" i="2"/>
  <c r="G85" i="2"/>
  <c r="G40" i="2"/>
  <c r="D37" i="2"/>
  <c r="D53" i="2"/>
  <c r="E53" i="2"/>
  <c r="F85" i="1"/>
  <c r="F87" i="1"/>
  <c r="G79" i="1"/>
  <c r="G85" i="1" s="1"/>
  <c r="D79" i="1"/>
  <c r="D85" i="1" s="1"/>
  <c r="C85" i="1"/>
  <c r="E79" i="1"/>
  <c r="E85" i="1" s="1"/>
  <c r="H79" i="1"/>
  <c r="I79" i="1" s="1"/>
  <c r="E69" i="1"/>
  <c r="F65" i="1"/>
  <c r="D71" i="1"/>
  <c r="E62" i="1" s="1"/>
  <c r="E71" i="1" s="1"/>
  <c r="F62" i="1" s="1"/>
  <c r="F72" i="1" s="1"/>
  <c r="D69" i="1"/>
  <c r="F71" i="1"/>
  <c r="G62" i="1" s="1"/>
  <c r="C54" i="1"/>
  <c r="C53" i="1"/>
  <c r="D47" i="1"/>
  <c r="D53" i="1" s="1"/>
  <c r="E47" i="1"/>
  <c r="E53" i="1" s="1"/>
  <c r="F47" i="1"/>
  <c r="F53" i="1" s="1"/>
  <c r="D46" i="1"/>
  <c r="D56" i="1" s="1"/>
  <c r="H50" i="2" l="1"/>
  <c r="D17" i="2"/>
  <c r="D21" i="2" s="1"/>
  <c r="D18" i="2"/>
  <c r="C21" i="2"/>
  <c r="D14" i="2"/>
  <c r="C24" i="2"/>
  <c r="C20" i="2"/>
  <c r="H20" i="2" s="1"/>
  <c r="I20" i="2" s="1"/>
  <c r="H85" i="2"/>
  <c r="I85" i="2" s="1"/>
  <c r="D69" i="2"/>
  <c r="H47" i="2"/>
  <c r="I47" i="2" s="1"/>
  <c r="H53" i="2"/>
  <c r="I53" i="2" s="1"/>
  <c r="D71" i="2"/>
  <c r="D54" i="2"/>
  <c r="G65" i="2"/>
  <c r="F85" i="2"/>
  <c r="F87" i="2"/>
  <c r="H79" i="2"/>
  <c r="I79" i="2" s="1"/>
  <c r="H31" i="2"/>
  <c r="I31" i="2" s="1"/>
  <c r="D38" i="2"/>
  <c r="E38" i="2" s="1"/>
  <c r="G78" i="1"/>
  <c r="F88" i="1"/>
  <c r="H85" i="1"/>
  <c r="I85" i="1" s="1"/>
  <c r="D72" i="1"/>
  <c r="F69" i="1"/>
  <c r="H69" i="1" s="1"/>
  <c r="I69" i="1" s="1"/>
  <c r="G65" i="1"/>
  <c r="G69" i="1" s="1"/>
  <c r="E72" i="1"/>
  <c r="G71" i="1"/>
  <c r="H71" i="1" s="1"/>
  <c r="I71" i="1" s="1"/>
  <c r="G72" i="1"/>
  <c r="H72" i="1" s="1"/>
  <c r="I70" i="1"/>
  <c r="D54" i="1"/>
  <c r="D50" i="1"/>
  <c r="C52" i="1"/>
  <c r="H52" i="1" s="1"/>
  <c r="I52" i="1" s="1"/>
  <c r="E18" i="2" l="1"/>
  <c r="F18" i="2" s="1"/>
  <c r="G18" i="2" s="1"/>
  <c r="D23" i="2"/>
  <c r="E17" i="2"/>
  <c r="G78" i="2"/>
  <c r="F88" i="2"/>
  <c r="E62" i="2"/>
  <c r="D72" i="2"/>
  <c r="I39" i="2"/>
  <c r="H65" i="2"/>
  <c r="E54" i="2"/>
  <c r="F38" i="2"/>
  <c r="G38" i="2" s="1"/>
  <c r="H38" i="2" s="1"/>
  <c r="I38" i="2" s="1"/>
  <c r="I41" i="2" s="1"/>
  <c r="I86" i="2"/>
  <c r="E69" i="2"/>
  <c r="G87" i="1"/>
  <c r="G88" i="1" s="1"/>
  <c r="H81" i="1"/>
  <c r="H65" i="1"/>
  <c r="E46" i="1"/>
  <c r="E50" i="1"/>
  <c r="F50" i="1" s="1"/>
  <c r="G50" i="1" s="1"/>
  <c r="G17" i="2" l="1"/>
  <c r="G21" i="2" s="1"/>
  <c r="F17" i="2"/>
  <c r="F21" i="2" s="1"/>
  <c r="H15" i="2"/>
  <c r="I15" i="2" s="1"/>
  <c r="E14" i="2"/>
  <c r="D24" i="2"/>
  <c r="E21" i="2"/>
  <c r="H21" i="2" s="1"/>
  <c r="I21" i="2" s="1"/>
  <c r="H17" i="2"/>
  <c r="H18" i="2"/>
  <c r="G87" i="2"/>
  <c r="H87" i="2" s="1"/>
  <c r="I87" i="2" s="1"/>
  <c r="I89" i="2" s="1"/>
  <c r="E71" i="2"/>
  <c r="E72" i="2"/>
  <c r="G69" i="2"/>
  <c r="F69" i="2"/>
  <c r="H69" i="2" s="1"/>
  <c r="I69" i="2" s="1"/>
  <c r="H63" i="2"/>
  <c r="I63" i="2" s="1"/>
  <c r="F55" i="2"/>
  <c r="H54" i="2"/>
  <c r="I54" i="2" s="1"/>
  <c r="E54" i="1"/>
  <c r="F54" i="1" s="1"/>
  <c r="E56" i="1"/>
  <c r="I73" i="1"/>
  <c r="H50" i="1"/>
  <c r="E23" i="2" l="1"/>
  <c r="E24" i="2"/>
  <c r="G46" i="2"/>
  <c r="F56" i="2"/>
  <c r="F62" i="2"/>
  <c r="G88" i="2"/>
  <c r="H88" i="2" s="1"/>
  <c r="H87" i="1"/>
  <c r="I89" i="1" s="1"/>
  <c r="H88" i="1"/>
  <c r="F14" i="2" l="1"/>
  <c r="G55" i="2"/>
  <c r="H55" i="2" s="1"/>
  <c r="I55" i="2" s="1"/>
  <c r="I57" i="2" s="1"/>
  <c r="G56" i="2"/>
  <c r="H46" i="2"/>
  <c r="F71" i="2"/>
  <c r="F72" i="2"/>
  <c r="H56" i="2"/>
  <c r="C34" i="1"/>
  <c r="C31" i="1"/>
  <c r="H35" i="1"/>
  <c r="I35" i="1" s="1"/>
  <c r="H32" i="1"/>
  <c r="I22" i="1"/>
  <c r="H19" i="1"/>
  <c r="I19" i="1" s="1"/>
  <c r="H22" i="1"/>
  <c r="C23" i="1"/>
  <c r="C18" i="1"/>
  <c r="G17" i="1"/>
  <c r="G21" i="1" s="1"/>
  <c r="C17" i="1"/>
  <c r="C21" i="1" s="1"/>
  <c r="C15" i="1"/>
  <c r="D15" i="1" s="1"/>
  <c r="E15" i="1" s="1"/>
  <c r="F15" i="1" s="1"/>
  <c r="G15" i="1" s="1"/>
  <c r="H16" i="1"/>
  <c r="F23" i="2" l="1"/>
  <c r="F24" i="2"/>
  <c r="G62" i="2"/>
  <c r="D14" i="1"/>
  <c r="C24" i="1"/>
  <c r="F17" i="1"/>
  <c r="F21" i="1" s="1"/>
  <c r="D17" i="1"/>
  <c r="D21" i="1" s="1"/>
  <c r="C20" i="1"/>
  <c r="H20" i="1" s="1"/>
  <c r="I20" i="1" s="1"/>
  <c r="C38" i="1"/>
  <c r="F31" i="1"/>
  <c r="F37" i="1" s="1"/>
  <c r="E31" i="1"/>
  <c r="C37" i="1"/>
  <c r="G31" i="1"/>
  <c r="G37" i="1" s="1"/>
  <c r="D31" i="1"/>
  <c r="E17" i="1"/>
  <c r="E21" i="1" s="1"/>
  <c r="H21" i="1" s="1"/>
  <c r="I21" i="1" s="1"/>
  <c r="D18" i="1"/>
  <c r="K9" i="1"/>
  <c r="G14" i="2" l="1"/>
  <c r="G71" i="2"/>
  <c r="H71" i="2" s="1"/>
  <c r="I71" i="2" s="1"/>
  <c r="I73" i="2" s="1"/>
  <c r="G72" i="2"/>
  <c r="H72" i="2" s="1"/>
  <c r="D23" i="1"/>
  <c r="E14" i="1" s="1"/>
  <c r="D37" i="1"/>
  <c r="D38" i="1"/>
  <c r="E38" i="1" s="1"/>
  <c r="F38" i="1" s="1"/>
  <c r="G38" i="1" s="1"/>
  <c r="H17" i="1"/>
  <c r="E37" i="1"/>
  <c r="H31" i="1"/>
  <c r="I31" i="1" s="1"/>
  <c r="E18" i="1"/>
  <c r="F18" i="1" s="1"/>
  <c r="G18" i="1" s="1"/>
  <c r="D34" i="1"/>
  <c r="H33" i="1"/>
  <c r="C36" i="1"/>
  <c r="H36" i="1" s="1"/>
  <c r="I36" i="1" s="1"/>
  <c r="G23" i="2" l="1"/>
  <c r="H23" i="2" s="1"/>
  <c r="I23" i="2" s="1"/>
  <c r="I25" i="2" s="1"/>
  <c r="G24" i="2"/>
  <c r="H24" i="2" s="1"/>
  <c r="H14" i="2"/>
  <c r="H18" i="1"/>
  <c r="D24" i="1"/>
  <c r="E23" i="1"/>
  <c r="F14" i="1" s="1"/>
  <c r="H37" i="1"/>
  <c r="I37" i="1" s="1"/>
  <c r="E34" i="1"/>
  <c r="F34" i="1" s="1"/>
  <c r="G34" i="1" s="1"/>
  <c r="F23" i="1" l="1"/>
  <c r="F24" i="1"/>
  <c r="E24" i="1"/>
  <c r="H34" i="1"/>
  <c r="G14" i="1" l="1"/>
  <c r="H14" i="1" l="1"/>
  <c r="G23" i="1"/>
  <c r="H23" i="1" s="1"/>
  <c r="I23" i="1" s="1"/>
  <c r="H30" i="1"/>
  <c r="H40" i="1" s="1"/>
  <c r="G24" i="1" l="1"/>
  <c r="H24" i="1" s="1"/>
  <c r="I39" i="1"/>
  <c r="H38" i="1"/>
  <c r="I38" i="1" s="1"/>
  <c r="I41" i="1" l="1"/>
  <c r="H15" i="1" l="1"/>
  <c r="I15" i="1" s="1"/>
  <c r="I25" i="1" s="1"/>
  <c r="H47" i="1" l="1"/>
  <c r="I47" i="1" s="1"/>
  <c r="F46" i="1"/>
  <c r="F55" i="1" s="1"/>
  <c r="F56" i="1" s="1"/>
  <c r="H53" i="1"/>
  <c r="I53" i="1" s="1"/>
  <c r="G46" i="1" l="1"/>
  <c r="H49" i="1"/>
  <c r="G55" i="1" l="1"/>
  <c r="G56" i="1" s="1"/>
  <c r="H46" i="1"/>
  <c r="H54" i="1"/>
  <c r="I54" i="1" s="1"/>
  <c r="H56" i="1" l="1"/>
  <c r="H55" i="1"/>
  <c r="I55" i="1" l="1"/>
  <c r="I57" i="1" s="1"/>
</calcChain>
</file>

<file path=xl/sharedStrings.xml><?xml version="1.0" encoding="utf-8"?>
<sst xmlns="http://schemas.openxmlformats.org/spreadsheetml/2006/main" count="244" uniqueCount="40">
  <si>
    <t>Product 1</t>
  </si>
  <si>
    <t>Product 5</t>
  </si>
  <si>
    <t>Backorder ($/unit/week)</t>
  </si>
  <si>
    <t>No overtime or subcontracting allowed</t>
  </si>
  <si>
    <t>Beginning inventory is zero</t>
  </si>
  <si>
    <t xml:space="preserve">Product 1 </t>
  </si>
  <si>
    <t xml:space="preserve">Product 2 </t>
  </si>
  <si>
    <t xml:space="preserve">Product 3 </t>
  </si>
  <si>
    <t xml:space="preserve">Product 4 </t>
  </si>
  <si>
    <t xml:space="preserve">Regular Cost ($/unit) </t>
  </si>
  <si>
    <t xml:space="preserve">Holding ($/unit/week) </t>
  </si>
  <si>
    <t>$/person</t>
  </si>
  <si>
    <t>units/worker</t>
  </si>
  <si>
    <t>workers</t>
  </si>
  <si>
    <t xml:space="preserve">Initial Production Capacity </t>
  </si>
  <si>
    <t>-</t>
  </si>
  <si>
    <t>Workers Available</t>
  </si>
  <si>
    <t>Workers Hired</t>
  </si>
  <si>
    <t>Workers Fired</t>
  </si>
  <si>
    <t>Beginning Inv</t>
  </si>
  <si>
    <t>Production</t>
  </si>
  <si>
    <t>Demand</t>
  </si>
  <si>
    <t>Workers Needed</t>
  </si>
  <si>
    <t>Average Inventory</t>
  </si>
  <si>
    <t>Total</t>
  </si>
  <si>
    <t xml:space="preserve">Undertime cost </t>
  </si>
  <si>
    <t>Hiring cost</t>
  </si>
  <si>
    <t>Layoff cost</t>
  </si>
  <si>
    <t>Regular production</t>
  </si>
  <si>
    <t>Initial Workforce</t>
  </si>
  <si>
    <t>End Inventory</t>
  </si>
  <si>
    <t>Back Order</t>
  </si>
  <si>
    <t xml:space="preserve">Undertime </t>
  </si>
  <si>
    <t>Period</t>
  </si>
  <si>
    <t>Cost</t>
  </si>
  <si>
    <t>units/week</t>
  </si>
  <si>
    <t>$/min</t>
  </si>
  <si>
    <t>Product 2</t>
  </si>
  <si>
    <t>Product 3</t>
  </si>
  <si>
    <t>Product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</si>
</sst>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Roboto"/>
      <charset val="1"/>
    </font>
    <font>
      <b/>
      <sz val="11"/>
      <color rgb="FF000000"/>
      <name val="Arial"/>
      <family val="2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5" xfId="0" applyFont="1" applyBorder="1"/>
    <xf numFmtId="0" fontId="2" fillId="2" borderId="6" xfId="0" applyFont="1" applyFill="1" applyBorder="1"/>
    <xf numFmtId="0" fontId="1" fillId="0" borderId="7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3" borderId="2" xfId="0" applyFont="1" applyFill="1" applyBorder="1"/>
    <xf numFmtId="0" fontId="1" fillId="3" borderId="3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1" fillId="0" borderId="5" xfId="0" applyFont="1" applyBorder="1" applyAlignment="1">
      <alignment horizontal="left"/>
    </xf>
    <xf numFmtId="164" fontId="1" fillId="0" borderId="6" xfId="0" applyNumberFormat="1" applyFont="1" applyBorder="1" applyAlignment="1">
      <alignment horizontal="right"/>
    </xf>
    <xf numFmtId="164" fontId="0" fillId="0" borderId="6" xfId="0" applyNumberFormat="1" applyBorder="1"/>
    <xf numFmtId="0" fontId="1" fillId="0" borderId="7" xfId="0" applyFont="1" applyBorder="1" applyAlignment="1">
      <alignment horizontal="left"/>
    </xf>
    <xf numFmtId="0" fontId="0" fillId="0" borderId="11" xfId="0" applyBorder="1" applyAlignment="1">
      <alignment horizontal="right"/>
    </xf>
    <xf numFmtId="0" fontId="3" fillId="3" borderId="10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right"/>
    </xf>
    <xf numFmtId="0" fontId="1" fillId="6" borderId="1" xfId="0" applyFont="1" applyFill="1" applyBorder="1" applyAlignment="1">
      <alignment horizontal="right"/>
    </xf>
    <xf numFmtId="0" fontId="0" fillId="6" borderId="1" xfId="0" applyFill="1" applyBorder="1"/>
    <xf numFmtId="0" fontId="1" fillId="6" borderId="12" xfId="0" applyFont="1" applyFill="1" applyBorder="1" applyAlignment="1">
      <alignment horizontal="right"/>
    </xf>
    <xf numFmtId="0" fontId="0" fillId="6" borderId="8" xfId="0" applyFill="1" applyBorder="1"/>
    <xf numFmtId="0" fontId="1" fillId="6" borderId="8" xfId="0" applyFont="1" applyFill="1" applyBorder="1" applyAlignment="1">
      <alignment horizontal="right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F864-A878-5341-B92A-A64899D33225}">
  <dimension ref="B1:N89"/>
  <sheetViews>
    <sheetView workbookViewId="0">
      <selection activeCell="B12" sqref="B12:I25"/>
    </sheetView>
  </sheetViews>
  <sheetFormatPr baseColWidth="10" defaultRowHeight="16" x14ac:dyDescent="0.2"/>
  <cols>
    <col min="2" max="2" width="21.6640625" customWidth="1"/>
    <col min="9" max="9" width="11.6640625" bestFit="1" customWidth="1"/>
  </cols>
  <sheetData>
    <row r="1" spans="2:12" ht="17" thickBot="1" x14ac:dyDescent="0.25"/>
    <row r="2" spans="2:12" x14ac:dyDescent="0.2">
      <c r="B2" s="12"/>
      <c r="C2" s="13" t="s">
        <v>5</v>
      </c>
      <c r="D2" s="14" t="s">
        <v>6</v>
      </c>
      <c r="E2" s="14" t="s">
        <v>7</v>
      </c>
      <c r="F2" s="14" t="s">
        <v>8</v>
      </c>
      <c r="G2" s="15" t="s">
        <v>1</v>
      </c>
      <c r="I2" s="2" t="s">
        <v>25</v>
      </c>
      <c r="K2">
        <v>2</v>
      </c>
      <c r="L2" s="2" t="s">
        <v>36</v>
      </c>
    </row>
    <row r="3" spans="2:12" x14ac:dyDescent="0.2">
      <c r="B3" s="5" t="s">
        <v>9</v>
      </c>
      <c r="C3" s="1">
        <v>100</v>
      </c>
      <c r="D3" s="1">
        <v>80</v>
      </c>
      <c r="E3" s="1">
        <v>25</v>
      </c>
      <c r="F3" s="1">
        <v>150</v>
      </c>
      <c r="G3" s="6">
        <v>200</v>
      </c>
      <c r="I3" s="2" t="s">
        <v>26</v>
      </c>
      <c r="K3" s="2">
        <v>12000</v>
      </c>
      <c r="L3" s="2" t="s">
        <v>11</v>
      </c>
    </row>
    <row r="4" spans="2:12" x14ac:dyDescent="0.2">
      <c r="B4" s="5" t="s">
        <v>10</v>
      </c>
      <c r="C4" s="1">
        <v>15</v>
      </c>
      <c r="D4" s="1">
        <v>12</v>
      </c>
      <c r="E4" s="1">
        <v>11.5</v>
      </c>
      <c r="F4" s="1">
        <v>20</v>
      </c>
      <c r="G4" s="6">
        <v>18.5</v>
      </c>
      <c r="I4" s="2" t="s">
        <v>27</v>
      </c>
      <c r="K4" s="2">
        <v>25000</v>
      </c>
      <c r="L4" s="2" t="s">
        <v>11</v>
      </c>
    </row>
    <row r="5" spans="2:12" ht="17" thickBot="1" x14ac:dyDescent="0.25">
      <c r="B5" s="7" t="s">
        <v>2</v>
      </c>
      <c r="C5" s="8">
        <v>25</v>
      </c>
      <c r="D5" s="8">
        <v>18</v>
      </c>
      <c r="E5" s="8">
        <v>10</v>
      </c>
      <c r="F5" s="8">
        <v>50</v>
      </c>
      <c r="G5" s="9">
        <v>75</v>
      </c>
      <c r="I5" s="2" t="s">
        <v>3</v>
      </c>
    </row>
    <row r="6" spans="2:12" x14ac:dyDescent="0.2">
      <c r="I6" s="2" t="s">
        <v>4</v>
      </c>
    </row>
    <row r="7" spans="2:12" x14ac:dyDescent="0.2">
      <c r="I7" s="2" t="s">
        <v>28</v>
      </c>
      <c r="K7" s="2">
        <v>30</v>
      </c>
      <c r="L7" s="2" t="s">
        <v>12</v>
      </c>
    </row>
    <row r="8" spans="2:12" x14ac:dyDescent="0.2">
      <c r="B8" s="2"/>
      <c r="I8" s="2" t="s">
        <v>29</v>
      </c>
      <c r="K8" s="2">
        <v>10</v>
      </c>
      <c r="L8" s="2" t="s">
        <v>13</v>
      </c>
    </row>
    <row r="9" spans="2:12" x14ac:dyDescent="0.2">
      <c r="I9" s="2" t="s">
        <v>14</v>
      </c>
      <c r="K9">
        <f>K7*K8</f>
        <v>300</v>
      </c>
      <c r="L9" s="2" t="s">
        <v>35</v>
      </c>
    </row>
    <row r="10" spans="2:12" x14ac:dyDescent="0.2">
      <c r="B10" s="2"/>
    </row>
    <row r="11" spans="2:12" ht="17" thickBot="1" x14ac:dyDescent="0.25">
      <c r="B11" s="10"/>
      <c r="C11" s="10"/>
      <c r="D11" s="10"/>
      <c r="E11" s="10"/>
      <c r="F11" s="10"/>
      <c r="G11" s="10"/>
      <c r="H11" s="10"/>
      <c r="I11" s="10"/>
    </row>
    <row r="12" spans="2:12" ht="17" thickBot="1" x14ac:dyDescent="0.25">
      <c r="B12" s="21" t="s">
        <v>0</v>
      </c>
      <c r="C12" s="22"/>
      <c r="D12" s="22"/>
      <c r="E12" s="22"/>
      <c r="F12" s="22"/>
      <c r="G12" s="22"/>
      <c r="H12" s="22"/>
      <c r="I12" s="23"/>
      <c r="J12" s="11"/>
    </row>
    <row r="13" spans="2:12" x14ac:dyDescent="0.2">
      <c r="B13" s="24" t="s">
        <v>33</v>
      </c>
      <c r="C13" s="25">
        <v>21</v>
      </c>
      <c r="D13" s="25">
        <v>22</v>
      </c>
      <c r="E13" s="25">
        <v>23</v>
      </c>
      <c r="F13" s="25">
        <v>24</v>
      </c>
      <c r="G13" s="25">
        <v>25</v>
      </c>
      <c r="H13" s="25" t="s">
        <v>24</v>
      </c>
      <c r="I13" s="26" t="s">
        <v>34</v>
      </c>
    </row>
    <row r="14" spans="2:12" x14ac:dyDescent="0.2">
      <c r="B14" s="16" t="s">
        <v>19</v>
      </c>
      <c r="C14" s="28">
        <v>0</v>
      </c>
      <c r="D14" s="28">
        <f>C23</f>
        <v>0</v>
      </c>
      <c r="E14" s="28">
        <f>D23</f>
        <v>0</v>
      </c>
      <c r="F14" s="28">
        <f>E23</f>
        <v>0</v>
      </c>
      <c r="G14" s="28">
        <f>F23</f>
        <v>0</v>
      </c>
      <c r="H14" s="28">
        <f>SUM(C14:G14)</f>
        <v>0</v>
      </c>
      <c r="I14" s="17" t="s">
        <v>15</v>
      </c>
    </row>
    <row r="15" spans="2:12" x14ac:dyDescent="0.2">
      <c r="B15" s="16" t="s">
        <v>20</v>
      </c>
      <c r="C15" s="28">
        <f>AVERAGE(C16:G16)</f>
        <v>145</v>
      </c>
      <c r="D15" s="28">
        <f>C15</f>
        <v>145</v>
      </c>
      <c r="E15" s="28">
        <f>D15</f>
        <v>145</v>
      </c>
      <c r="F15" s="28">
        <f>E15</f>
        <v>145</v>
      </c>
      <c r="G15" s="28">
        <f>F15</f>
        <v>145</v>
      </c>
      <c r="H15" s="28">
        <f>SUM(C15:G15)</f>
        <v>725</v>
      </c>
      <c r="I15" s="17">
        <f>H15*C3</f>
        <v>72500</v>
      </c>
    </row>
    <row r="16" spans="2:12" x14ac:dyDescent="0.2">
      <c r="B16" s="16" t="s">
        <v>21</v>
      </c>
      <c r="C16" s="28">
        <v>145</v>
      </c>
      <c r="D16" s="28">
        <v>145</v>
      </c>
      <c r="E16" s="28">
        <v>145</v>
      </c>
      <c r="F16" s="28">
        <v>145</v>
      </c>
      <c r="G16" s="28">
        <v>145</v>
      </c>
      <c r="H16" s="28">
        <f>SUM(C16:G16)</f>
        <v>725</v>
      </c>
      <c r="I16" s="17" t="s">
        <v>15</v>
      </c>
    </row>
    <row r="17" spans="2:14" x14ac:dyDescent="0.2">
      <c r="B17" s="16" t="s">
        <v>22</v>
      </c>
      <c r="C17" s="28">
        <f>ROUND(C15/$K$7,0)</f>
        <v>5</v>
      </c>
      <c r="D17" s="28">
        <f t="shared" ref="D17:G17" si="0">ROUND(D15/$K$7,0)</f>
        <v>5</v>
      </c>
      <c r="E17" s="28">
        <f t="shared" si="0"/>
        <v>5</v>
      </c>
      <c r="F17" s="28">
        <f t="shared" si="0"/>
        <v>5</v>
      </c>
      <c r="G17" s="28">
        <f t="shared" si="0"/>
        <v>5</v>
      </c>
      <c r="H17" s="28">
        <f t="shared" ref="H17:H24" si="1">SUM(C17:G17)</f>
        <v>25</v>
      </c>
      <c r="I17" s="17" t="s">
        <v>15</v>
      </c>
    </row>
    <row r="18" spans="2:14" x14ac:dyDescent="0.2">
      <c r="B18" s="16" t="s">
        <v>16</v>
      </c>
      <c r="C18" s="28">
        <f>K8</f>
        <v>10</v>
      </c>
      <c r="D18" s="28">
        <f>C17</f>
        <v>5</v>
      </c>
      <c r="E18" s="28">
        <f>D18</f>
        <v>5</v>
      </c>
      <c r="F18" s="28">
        <f>E18</f>
        <v>5</v>
      </c>
      <c r="G18" s="28">
        <f>F18</f>
        <v>5</v>
      </c>
      <c r="H18" s="28">
        <f t="shared" si="1"/>
        <v>30</v>
      </c>
      <c r="I18" s="17" t="s">
        <v>15</v>
      </c>
    </row>
    <row r="19" spans="2:14" x14ac:dyDescent="0.2">
      <c r="B19" s="16" t="s">
        <v>17</v>
      </c>
      <c r="C19" s="28">
        <v>0</v>
      </c>
      <c r="D19" s="29">
        <v>0</v>
      </c>
      <c r="E19" s="28">
        <v>0</v>
      </c>
      <c r="F19" s="28">
        <v>0</v>
      </c>
      <c r="G19" s="28">
        <v>0</v>
      </c>
      <c r="H19" s="28">
        <f t="shared" si="1"/>
        <v>0</v>
      </c>
      <c r="I19" s="17">
        <f>H19*K3</f>
        <v>0</v>
      </c>
    </row>
    <row r="20" spans="2:14" x14ac:dyDescent="0.2">
      <c r="B20" s="16" t="s">
        <v>18</v>
      </c>
      <c r="C20" s="28">
        <f>C18-C17</f>
        <v>5</v>
      </c>
      <c r="D20" s="28">
        <v>0</v>
      </c>
      <c r="E20" s="28">
        <v>0</v>
      </c>
      <c r="F20" s="28">
        <v>0</v>
      </c>
      <c r="G20" s="28">
        <v>0</v>
      </c>
      <c r="H20" s="28">
        <f t="shared" si="1"/>
        <v>5</v>
      </c>
      <c r="I20" s="17">
        <f>H20*K4</f>
        <v>125000</v>
      </c>
    </row>
    <row r="21" spans="2:14" x14ac:dyDescent="0.2">
      <c r="B21" s="16" t="s">
        <v>32</v>
      </c>
      <c r="C21" s="28">
        <f>C17*$K$7-C15</f>
        <v>5</v>
      </c>
      <c r="D21" s="28">
        <f t="shared" ref="D21:G21" si="2">D17*$K$7-D16</f>
        <v>5</v>
      </c>
      <c r="E21" s="28">
        <f t="shared" si="2"/>
        <v>5</v>
      </c>
      <c r="F21" s="28">
        <f t="shared" si="2"/>
        <v>5</v>
      </c>
      <c r="G21" s="28">
        <f t="shared" si="2"/>
        <v>5</v>
      </c>
      <c r="H21" s="28">
        <f t="shared" si="1"/>
        <v>25</v>
      </c>
      <c r="I21" s="17">
        <f>H21*(480/30)*K2</f>
        <v>800</v>
      </c>
    </row>
    <row r="22" spans="2:14" x14ac:dyDescent="0.2">
      <c r="B22" s="16" t="s">
        <v>31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f t="shared" si="1"/>
        <v>0</v>
      </c>
      <c r="I22" s="17">
        <f>H22*C5</f>
        <v>0</v>
      </c>
      <c r="N22" s="33"/>
    </row>
    <row r="23" spans="2:14" x14ac:dyDescent="0.2">
      <c r="B23" s="16" t="s">
        <v>30</v>
      </c>
      <c r="C23" s="29">
        <f>C14+C15-C16</f>
        <v>0</v>
      </c>
      <c r="D23" s="29">
        <f t="shared" ref="D23:G23" si="3">D14+D15-D16</f>
        <v>0</v>
      </c>
      <c r="E23" s="29">
        <f t="shared" si="3"/>
        <v>0</v>
      </c>
      <c r="F23" s="29">
        <f t="shared" si="3"/>
        <v>0</v>
      </c>
      <c r="G23" s="29">
        <f t="shared" si="3"/>
        <v>0</v>
      </c>
      <c r="H23" s="30">
        <f t="shared" si="1"/>
        <v>0</v>
      </c>
      <c r="I23" s="18">
        <f>H23*C4</f>
        <v>0</v>
      </c>
    </row>
    <row r="24" spans="2:14" ht="17" thickBot="1" x14ac:dyDescent="0.25">
      <c r="B24" s="19" t="s">
        <v>23</v>
      </c>
      <c r="C24" s="31">
        <f>AVERAGE(C14,C23)</f>
        <v>0</v>
      </c>
      <c r="D24" s="31">
        <f t="shared" ref="D24:G24" si="4">AVERAGE(D14,D23)</f>
        <v>0</v>
      </c>
      <c r="E24" s="31">
        <f t="shared" si="4"/>
        <v>0</v>
      </c>
      <c r="F24" s="31">
        <f t="shared" si="4"/>
        <v>0</v>
      </c>
      <c r="G24" s="31">
        <f t="shared" si="4"/>
        <v>0</v>
      </c>
      <c r="H24" s="32">
        <f t="shared" si="1"/>
        <v>0</v>
      </c>
      <c r="I24" s="20" t="s">
        <v>15</v>
      </c>
    </row>
    <row r="25" spans="2:14" x14ac:dyDescent="0.2">
      <c r="B25" s="3"/>
      <c r="C25" s="4"/>
      <c r="D25" s="4"/>
      <c r="E25" s="4"/>
      <c r="F25" s="4"/>
      <c r="G25" s="4"/>
      <c r="H25" s="4"/>
      <c r="I25" s="27">
        <f>SUM(I14:I24)</f>
        <v>198300</v>
      </c>
    </row>
    <row r="27" spans="2:14" ht="17" thickBot="1" x14ac:dyDescent="0.25"/>
    <row r="28" spans="2:14" ht="17" thickBot="1" x14ac:dyDescent="0.25">
      <c r="B28" s="21" t="s">
        <v>37</v>
      </c>
      <c r="C28" s="22"/>
      <c r="D28" s="22"/>
      <c r="E28" s="22"/>
      <c r="F28" s="22"/>
      <c r="G28" s="22"/>
      <c r="H28" s="22"/>
      <c r="I28" s="23"/>
    </row>
    <row r="29" spans="2:14" x14ac:dyDescent="0.2">
      <c r="B29" s="24" t="s">
        <v>33</v>
      </c>
      <c r="C29" s="25">
        <v>21</v>
      </c>
      <c r="D29" s="25">
        <v>22</v>
      </c>
      <c r="E29" s="25">
        <v>23</v>
      </c>
      <c r="F29" s="25">
        <v>24</v>
      </c>
      <c r="G29" s="25">
        <v>25</v>
      </c>
      <c r="H29" s="25" t="s">
        <v>24</v>
      </c>
      <c r="I29" s="26" t="s">
        <v>34</v>
      </c>
    </row>
    <row r="30" spans="2:14" x14ac:dyDescent="0.2">
      <c r="B30" s="16" t="s">
        <v>19</v>
      </c>
      <c r="C30" s="28">
        <v>0</v>
      </c>
      <c r="D30" s="28">
        <f>C39</f>
        <v>0</v>
      </c>
      <c r="E30" s="28">
        <f t="shared" ref="E30:G30" si="5">D39</f>
        <v>0</v>
      </c>
      <c r="F30" s="28">
        <f t="shared" si="5"/>
        <v>0</v>
      </c>
      <c r="G30" s="28">
        <f t="shared" si="5"/>
        <v>0</v>
      </c>
      <c r="H30" s="28">
        <f>SUM(C30:G30)</f>
        <v>0</v>
      </c>
      <c r="I30" s="17" t="s">
        <v>15</v>
      </c>
    </row>
    <row r="31" spans="2:14" x14ac:dyDescent="0.2">
      <c r="B31" s="16" t="s">
        <v>20</v>
      </c>
      <c r="C31" s="28">
        <f>AVERAGE(C32:G32)</f>
        <v>151</v>
      </c>
      <c r="D31" s="28">
        <f>C31</f>
        <v>151</v>
      </c>
      <c r="E31" s="28">
        <f>C31</f>
        <v>151</v>
      </c>
      <c r="F31" s="28">
        <f>C31</f>
        <v>151</v>
      </c>
      <c r="G31" s="28">
        <f>C31</f>
        <v>151</v>
      </c>
      <c r="H31" s="28">
        <f>SUM(C31:G31)</f>
        <v>755</v>
      </c>
      <c r="I31" s="17">
        <f>H31*D3</f>
        <v>60400</v>
      </c>
    </row>
    <row r="32" spans="2:14" x14ac:dyDescent="0.2">
      <c r="B32" s="16" t="s">
        <v>21</v>
      </c>
      <c r="C32" s="28">
        <v>154</v>
      </c>
      <c r="D32" s="28">
        <v>152</v>
      </c>
      <c r="E32" s="28">
        <v>151</v>
      </c>
      <c r="F32" s="28">
        <v>150</v>
      </c>
      <c r="G32" s="28">
        <v>148</v>
      </c>
      <c r="H32" s="28">
        <f>SUM(C32:G32)</f>
        <v>755</v>
      </c>
      <c r="I32" s="17" t="s">
        <v>15</v>
      </c>
    </row>
    <row r="33" spans="2:9" x14ac:dyDescent="0.2">
      <c r="B33" s="16" t="s">
        <v>22</v>
      </c>
      <c r="C33" s="28">
        <v>6</v>
      </c>
      <c r="D33" s="28">
        <v>6</v>
      </c>
      <c r="E33" s="28">
        <v>6</v>
      </c>
      <c r="F33" s="28">
        <v>6</v>
      </c>
      <c r="G33" s="28">
        <v>6</v>
      </c>
      <c r="H33" s="28">
        <f t="shared" ref="H33:H37" si="6">SUM(C33:G33)</f>
        <v>30</v>
      </c>
      <c r="I33" s="17" t="s">
        <v>15</v>
      </c>
    </row>
    <row r="34" spans="2:9" x14ac:dyDescent="0.2">
      <c r="B34" s="16" t="s">
        <v>16</v>
      </c>
      <c r="C34" s="28">
        <f>K8</f>
        <v>10</v>
      </c>
      <c r="D34" s="28">
        <f>C33</f>
        <v>6</v>
      </c>
      <c r="E34" s="28">
        <f>D34</f>
        <v>6</v>
      </c>
      <c r="F34" s="28">
        <f>E34</f>
        <v>6</v>
      </c>
      <c r="G34" s="28">
        <f>F34</f>
        <v>6</v>
      </c>
      <c r="H34" s="28">
        <f t="shared" si="6"/>
        <v>34</v>
      </c>
      <c r="I34" s="17" t="s">
        <v>15</v>
      </c>
    </row>
    <row r="35" spans="2:9" x14ac:dyDescent="0.2">
      <c r="B35" s="16" t="s">
        <v>17</v>
      </c>
      <c r="C35" s="28">
        <v>0</v>
      </c>
      <c r="D35" s="29">
        <v>0</v>
      </c>
      <c r="E35" s="28">
        <v>0</v>
      </c>
      <c r="F35" s="28">
        <v>0</v>
      </c>
      <c r="G35" s="28">
        <v>0</v>
      </c>
      <c r="H35" s="28">
        <f t="shared" si="6"/>
        <v>0</v>
      </c>
      <c r="I35" s="17">
        <f>H35*K19</f>
        <v>0</v>
      </c>
    </row>
    <row r="36" spans="2:9" x14ac:dyDescent="0.2">
      <c r="B36" s="16" t="s">
        <v>18</v>
      </c>
      <c r="C36" s="28">
        <f>C34-C33</f>
        <v>4</v>
      </c>
      <c r="D36" s="28">
        <v>0</v>
      </c>
      <c r="E36" s="28">
        <v>0</v>
      </c>
      <c r="F36" s="28">
        <v>0</v>
      </c>
      <c r="G36" s="28">
        <v>0</v>
      </c>
      <c r="H36" s="28">
        <f t="shared" si="6"/>
        <v>4</v>
      </c>
      <c r="I36" s="17">
        <f>H36*K4</f>
        <v>100000</v>
      </c>
    </row>
    <row r="37" spans="2:9" x14ac:dyDescent="0.2">
      <c r="B37" s="16" t="s">
        <v>32</v>
      </c>
      <c r="C37" s="28">
        <f>C33*$K$7-C31</f>
        <v>29</v>
      </c>
      <c r="D37" s="28">
        <f t="shared" ref="D37:G37" si="7">D33*$K$7-D31</f>
        <v>29</v>
      </c>
      <c r="E37" s="28">
        <f t="shared" si="7"/>
        <v>29</v>
      </c>
      <c r="F37" s="28">
        <f t="shared" si="7"/>
        <v>29</v>
      </c>
      <c r="G37" s="28">
        <f t="shared" si="7"/>
        <v>29</v>
      </c>
      <c r="H37" s="28">
        <f t="shared" si="6"/>
        <v>145</v>
      </c>
      <c r="I37" s="17">
        <f>H37*(480/30)*K2</f>
        <v>4640</v>
      </c>
    </row>
    <row r="38" spans="2:9" x14ac:dyDescent="0.2">
      <c r="B38" s="16" t="s">
        <v>31</v>
      </c>
      <c r="C38" s="29">
        <f>ABS(C30+C31-C32)</f>
        <v>3</v>
      </c>
      <c r="D38" s="29">
        <f>ABS(D30+D31-D32)+C38</f>
        <v>4</v>
      </c>
      <c r="E38" s="29">
        <f>E30+E31-E32+D38</f>
        <v>4</v>
      </c>
      <c r="F38" s="29">
        <f>E38-(F31-F32)</f>
        <v>3</v>
      </c>
      <c r="G38" s="29">
        <f>F38-(G31-G32)</f>
        <v>0</v>
      </c>
      <c r="H38" s="28">
        <f>SUM(C38:G38)</f>
        <v>14</v>
      </c>
      <c r="I38" s="17">
        <f>H38*D5</f>
        <v>252</v>
      </c>
    </row>
    <row r="39" spans="2:9" x14ac:dyDescent="0.2">
      <c r="B39" s="16" t="s">
        <v>30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30">
        <f>SUM(C39:G39)</f>
        <v>0</v>
      </c>
      <c r="I39" s="18">
        <f>H39*C20</f>
        <v>0</v>
      </c>
    </row>
    <row r="40" spans="2:9" ht="17" thickBot="1" x14ac:dyDescent="0.25">
      <c r="B40" s="19" t="s">
        <v>23</v>
      </c>
      <c r="C40" s="31">
        <f>AVERAGE(C30,C39)</f>
        <v>0</v>
      </c>
      <c r="D40" s="31">
        <f t="shared" ref="D40:H40" si="8">AVERAGE(D30,D39)</f>
        <v>0</v>
      </c>
      <c r="E40" s="31">
        <f t="shared" si="8"/>
        <v>0</v>
      </c>
      <c r="F40" s="31">
        <f t="shared" si="8"/>
        <v>0</v>
      </c>
      <c r="G40" s="31">
        <f t="shared" si="8"/>
        <v>0</v>
      </c>
      <c r="H40" s="31">
        <f t="shared" si="8"/>
        <v>0</v>
      </c>
      <c r="I40" s="20" t="s">
        <v>15</v>
      </c>
    </row>
    <row r="41" spans="2:9" x14ac:dyDescent="0.2">
      <c r="B41" s="3"/>
      <c r="C41" s="4"/>
      <c r="D41" s="4"/>
      <c r="E41" s="4"/>
      <c r="F41" s="4"/>
      <c r="G41" s="4"/>
      <c r="H41" s="4"/>
      <c r="I41" s="27">
        <f>SUM(I30:I40)</f>
        <v>165292</v>
      </c>
    </row>
    <row r="43" spans="2:9" ht="17" thickBot="1" x14ac:dyDescent="0.25"/>
    <row r="44" spans="2:9" ht="17" thickBot="1" x14ac:dyDescent="0.25">
      <c r="B44" s="21" t="s">
        <v>38</v>
      </c>
      <c r="C44" s="22"/>
      <c r="D44" s="22"/>
      <c r="E44" s="22"/>
      <c r="F44" s="22"/>
      <c r="G44" s="22"/>
      <c r="H44" s="22"/>
      <c r="I44" s="23"/>
    </row>
    <row r="45" spans="2:9" x14ac:dyDescent="0.2">
      <c r="B45" s="24" t="s">
        <v>33</v>
      </c>
      <c r="C45" s="25">
        <v>21</v>
      </c>
      <c r="D45" s="25">
        <v>22</v>
      </c>
      <c r="E45" s="25">
        <v>23</v>
      </c>
      <c r="F45" s="25">
        <v>24</v>
      </c>
      <c r="G45" s="25">
        <v>25</v>
      </c>
      <c r="H45" s="25" t="s">
        <v>24</v>
      </c>
      <c r="I45" s="26" t="s">
        <v>34</v>
      </c>
    </row>
    <row r="46" spans="2:9" x14ac:dyDescent="0.2">
      <c r="B46" s="16" t="s">
        <v>19</v>
      </c>
      <c r="C46" s="28">
        <v>0</v>
      </c>
      <c r="D46" s="28">
        <f>C55</f>
        <v>0</v>
      </c>
      <c r="E46" s="28">
        <f>D55</f>
        <v>0</v>
      </c>
      <c r="F46" s="28">
        <f>E55</f>
        <v>0</v>
      </c>
      <c r="G46" s="28">
        <f>F55</f>
        <v>27</v>
      </c>
      <c r="H46" s="28">
        <f>SUM(C46:G46)</f>
        <v>27</v>
      </c>
      <c r="I46" s="17" t="s">
        <v>15</v>
      </c>
    </row>
    <row r="47" spans="2:9" x14ac:dyDescent="0.2">
      <c r="B47" s="16" t="s">
        <v>20</v>
      </c>
      <c r="C47" s="28">
        <f>CEILING((AVERAGE(C48:G48)),1)</f>
        <v>105</v>
      </c>
      <c r="D47" s="28">
        <f>C47</f>
        <v>105</v>
      </c>
      <c r="E47" s="28">
        <f>C47</f>
        <v>105</v>
      </c>
      <c r="F47" s="28">
        <f>C47</f>
        <v>105</v>
      </c>
      <c r="G47" s="28">
        <f>C47</f>
        <v>105</v>
      </c>
      <c r="H47" s="28">
        <f>SUM(C47:G47)</f>
        <v>525</v>
      </c>
      <c r="I47" s="17">
        <f>H47*E3</f>
        <v>13125</v>
      </c>
    </row>
    <row r="48" spans="2:9" x14ac:dyDescent="0.2">
      <c r="B48" s="16" t="s">
        <v>21</v>
      </c>
      <c r="C48" s="28">
        <v>129</v>
      </c>
      <c r="D48" s="28">
        <v>100</v>
      </c>
      <c r="E48" s="28">
        <v>89</v>
      </c>
      <c r="F48" s="28">
        <v>75</v>
      </c>
      <c r="G48" s="28">
        <v>129</v>
      </c>
      <c r="H48" s="28">
        <f>SUM(C48:G48)</f>
        <v>522</v>
      </c>
      <c r="I48" s="17" t="s">
        <v>15</v>
      </c>
    </row>
    <row r="49" spans="2:9" x14ac:dyDescent="0.2">
      <c r="B49" s="16" t="s">
        <v>22</v>
      </c>
      <c r="C49" s="28">
        <v>4</v>
      </c>
      <c r="D49" s="28">
        <v>4</v>
      </c>
      <c r="E49" s="28">
        <v>4</v>
      </c>
      <c r="F49" s="28">
        <v>4</v>
      </c>
      <c r="G49" s="28">
        <v>4</v>
      </c>
      <c r="H49" s="28">
        <f t="shared" ref="H49:H55" si="9">SUM(C49:G49)</f>
        <v>20</v>
      </c>
      <c r="I49" s="17" t="s">
        <v>15</v>
      </c>
    </row>
    <row r="50" spans="2:9" x14ac:dyDescent="0.2">
      <c r="B50" s="16" t="s">
        <v>16</v>
      </c>
      <c r="C50" s="28">
        <v>10</v>
      </c>
      <c r="D50" s="28">
        <f>C49</f>
        <v>4</v>
      </c>
      <c r="E50" s="28">
        <f>D50</f>
        <v>4</v>
      </c>
      <c r="F50" s="28">
        <f>E50</f>
        <v>4</v>
      </c>
      <c r="G50" s="28">
        <f>F50</f>
        <v>4</v>
      </c>
      <c r="H50" s="28">
        <f t="shared" si="9"/>
        <v>26</v>
      </c>
      <c r="I50" s="17" t="s">
        <v>15</v>
      </c>
    </row>
    <row r="51" spans="2:9" x14ac:dyDescent="0.2">
      <c r="B51" s="16" t="s">
        <v>17</v>
      </c>
      <c r="C51" s="28">
        <v>0</v>
      </c>
      <c r="D51" s="29">
        <v>0</v>
      </c>
      <c r="E51" s="28">
        <v>0</v>
      </c>
      <c r="F51" s="28">
        <v>0</v>
      </c>
      <c r="G51" s="28">
        <v>0</v>
      </c>
      <c r="H51" s="28">
        <f t="shared" si="9"/>
        <v>0</v>
      </c>
      <c r="I51" s="17">
        <f>H51*K35</f>
        <v>0</v>
      </c>
    </row>
    <row r="52" spans="2:9" x14ac:dyDescent="0.2">
      <c r="B52" s="16" t="s">
        <v>18</v>
      </c>
      <c r="C52" s="28">
        <f>C50-C49</f>
        <v>6</v>
      </c>
      <c r="D52" s="28">
        <v>0</v>
      </c>
      <c r="E52" s="28">
        <v>0</v>
      </c>
      <c r="F52" s="28">
        <v>0</v>
      </c>
      <c r="G52" s="28">
        <v>0</v>
      </c>
      <c r="H52" s="28">
        <f t="shared" si="9"/>
        <v>6</v>
      </c>
      <c r="I52" s="17">
        <f>H52*K4</f>
        <v>150000</v>
      </c>
    </row>
    <row r="53" spans="2:9" x14ac:dyDescent="0.2">
      <c r="B53" s="16" t="s">
        <v>32</v>
      </c>
      <c r="C53" s="28">
        <f>C49*$K$7-C47</f>
        <v>15</v>
      </c>
      <c r="D53" s="28">
        <f t="shared" ref="D53:G53" si="10">D49*$K$7-D47</f>
        <v>15</v>
      </c>
      <c r="E53" s="28">
        <f t="shared" si="10"/>
        <v>15</v>
      </c>
      <c r="F53" s="28">
        <f t="shared" si="10"/>
        <v>15</v>
      </c>
      <c r="G53" s="28">
        <f t="shared" si="10"/>
        <v>15</v>
      </c>
      <c r="H53" s="28">
        <f t="shared" si="9"/>
        <v>75</v>
      </c>
      <c r="I53" s="17">
        <f>H53*(480/30)*K2</f>
        <v>2400</v>
      </c>
    </row>
    <row r="54" spans="2:9" x14ac:dyDescent="0.2">
      <c r="B54" s="16" t="s">
        <v>31</v>
      </c>
      <c r="C54" s="28">
        <f>ABS(C46+C47-C48)</f>
        <v>24</v>
      </c>
      <c r="D54" s="28">
        <f>C54-ABS(D46+D47-D48)</f>
        <v>19</v>
      </c>
      <c r="E54" s="28">
        <f>D54-ABS(E46+E47-E48)</f>
        <v>3</v>
      </c>
      <c r="F54" s="28">
        <f>E54-3</f>
        <v>0</v>
      </c>
      <c r="G54" s="28">
        <v>0</v>
      </c>
      <c r="H54" s="28">
        <f t="shared" si="9"/>
        <v>46</v>
      </c>
      <c r="I54" s="17">
        <f>H54*E5</f>
        <v>460</v>
      </c>
    </row>
    <row r="55" spans="2:9" x14ac:dyDescent="0.2">
      <c r="B55" s="16" t="s">
        <v>30</v>
      </c>
      <c r="C55" s="29">
        <v>0</v>
      </c>
      <c r="D55" s="29">
        <v>0</v>
      </c>
      <c r="E55" s="29">
        <v>0</v>
      </c>
      <c r="F55" s="29">
        <f>ABS(E54-ABS(F46+F47-F48))</f>
        <v>27</v>
      </c>
      <c r="G55" s="29">
        <f>G46+G47-G48</f>
        <v>3</v>
      </c>
      <c r="H55" s="30">
        <f t="shared" si="9"/>
        <v>30</v>
      </c>
      <c r="I55" s="18">
        <f>H55*E4</f>
        <v>345</v>
      </c>
    </row>
    <row r="56" spans="2:9" ht="17" thickBot="1" x14ac:dyDescent="0.25">
      <c r="B56" s="19" t="s">
        <v>23</v>
      </c>
      <c r="C56" s="31">
        <f>AVERAGE(C46,C55)</f>
        <v>0</v>
      </c>
      <c r="D56" s="31">
        <f t="shared" ref="D56:G56" si="11">AVERAGE(D46,D55)</f>
        <v>0</v>
      </c>
      <c r="E56" s="31">
        <f t="shared" si="11"/>
        <v>0</v>
      </c>
      <c r="F56" s="31">
        <f t="shared" si="11"/>
        <v>13.5</v>
      </c>
      <c r="G56" s="31">
        <f t="shared" si="11"/>
        <v>15</v>
      </c>
      <c r="H56" s="32">
        <f>SUM(C56:G56)</f>
        <v>28.5</v>
      </c>
      <c r="I56" s="20" t="s">
        <v>15</v>
      </c>
    </row>
    <row r="57" spans="2:9" x14ac:dyDescent="0.2">
      <c r="B57" s="3"/>
      <c r="C57" s="4"/>
      <c r="D57" s="4"/>
      <c r="E57" s="4"/>
      <c r="F57" s="4"/>
      <c r="G57" s="4"/>
      <c r="H57" s="4"/>
      <c r="I57" s="27">
        <f>SUM(I46:I56)</f>
        <v>166330</v>
      </c>
    </row>
    <row r="59" spans="2:9" ht="17" thickBot="1" x14ac:dyDescent="0.25"/>
    <row r="60" spans="2:9" ht="17" thickBot="1" x14ac:dyDescent="0.25">
      <c r="B60" s="21" t="s">
        <v>39</v>
      </c>
      <c r="C60" s="22"/>
      <c r="D60" s="22"/>
      <c r="E60" s="22"/>
      <c r="F60" s="22"/>
      <c r="G60" s="22"/>
      <c r="H60" s="22"/>
      <c r="I60" s="23"/>
    </row>
    <row r="61" spans="2:9" x14ac:dyDescent="0.2">
      <c r="B61" s="24" t="s">
        <v>33</v>
      </c>
      <c r="C61" s="25">
        <v>21</v>
      </c>
      <c r="D61" s="25">
        <v>22</v>
      </c>
      <c r="E61" s="25">
        <v>23</v>
      </c>
      <c r="F61" s="25">
        <v>24</v>
      </c>
      <c r="G61" s="25">
        <v>25</v>
      </c>
      <c r="H61" s="25" t="s">
        <v>24</v>
      </c>
      <c r="I61" s="26" t="s">
        <v>34</v>
      </c>
    </row>
    <row r="62" spans="2:9" x14ac:dyDescent="0.2">
      <c r="B62" s="16" t="s">
        <v>19</v>
      </c>
      <c r="C62" s="28">
        <v>0</v>
      </c>
      <c r="D62" s="28">
        <f>C71</f>
        <v>6</v>
      </c>
      <c r="E62" s="28">
        <f t="shared" ref="E62:G62" si="12">D71</f>
        <v>9</v>
      </c>
      <c r="F62" s="28">
        <f t="shared" si="12"/>
        <v>9</v>
      </c>
      <c r="G62" s="28">
        <f t="shared" si="12"/>
        <v>6</v>
      </c>
      <c r="H62" s="28"/>
      <c r="I62" s="17" t="s">
        <v>15</v>
      </c>
    </row>
    <row r="63" spans="2:9" x14ac:dyDescent="0.2">
      <c r="B63" s="16" t="s">
        <v>20</v>
      </c>
      <c r="C63" s="28">
        <f>ROUND(AVERAGE(C64:G64),0)</f>
        <v>88</v>
      </c>
      <c r="D63" s="28">
        <f>C63</f>
        <v>88</v>
      </c>
      <c r="E63" s="28">
        <f>D63</f>
        <v>88</v>
      </c>
      <c r="F63" s="28">
        <f>E63</f>
        <v>88</v>
      </c>
      <c r="G63" s="28">
        <f>F63</f>
        <v>88</v>
      </c>
      <c r="H63" s="28">
        <f>SUM(C63:G63)</f>
        <v>440</v>
      </c>
      <c r="I63" s="17">
        <f>H63*F3</f>
        <v>66000</v>
      </c>
    </row>
    <row r="64" spans="2:9" x14ac:dyDescent="0.2">
      <c r="B64" s="16" t="s">
        <v>21</v>
      </c>
      <c r="C64" s="28">
        <v>82</v>
      </c>
      <c r="D64" s="28">
        <v>85</v>
      </c>
      <c r="E64" s="28">
        <v>88</v>
      </c>
      <c r="F64" s="28">
        <v>91</v>
      </c>
      <c r="G64" s="28">
        <v>93</v>
      </c>
      <c r="H64" s="28">
        <f>SUM(C64:G64)</f>
        <v>439</v>
      </c>
      <c r="I64" s="17" t="s">
        <v>15</v>
      </c>
    </row>
    <row r="65" spans="2:9" x14ac:dyDescent="0.2">
      <c r="B65" s="16" t="s">
        <v>22</v>
      </c>
      <c r="C65" s="28">
        <v>3</v>
      </c>
      <c r="D65" s="28">
        <f>C65</f>
        <v>3</v>
      </c>
      <c r="E65" s="28">
        <f>D65</f>
        <v>3</v>
      </c>
      <c r="F65" s="28">
        <f>E65</f>
        <v>3</v>
      </c>
      <c r="G65" s="28">
        <f>F65</f>
        <v>3</v>
      </c>
      <c r="H65" s="28">
        <f>SUM(C65:G65)</f>
        <v>15</v>
      </c>
      <c r="I65" s="17" t="s">
        <v>15</v>
      </c>
    </row>
    <row r="66" spans="2:9" x14ac:dyDescent="0.2">
      <c r="B66" s="16" t="s">
        <v>16</v>
      </c>
      <c r="C66" s="28">
        <v>10</v>
      </c>
      <c r="D66" s="28">
        <v>3</v>
      </c>
      <c r="E66" s="28">
        <v>3</v>
      </c>
      <c r="F66" s="28">
        <v>3</v>
      </c>
      <c r="G66" s="28">
        <v>3</v>
      </c>
      <c r="H66" s="28">
        <f t="shared" ref="H66:H72" si="13">SUM(C66:G66)</f>
        <v>22</v>
      </c>
      <c r="I66" s="17" t="s">
        <v>15</v>
      </c>
    </row>
    <row r="67" spans="2:9" x14ac:dyDescent="0.2">
      <c r="B67" s="16" t="s">
        <v>17</v>
      </c>
      <c r="C67" s="28">
        <v>0</v>
      </c>
      <c r="D67" s="29">
        <v>0</v>
      </c>
      <c r="E67" s="28">
        <v>0</v>
      </c>
      <c r="F67" s="28">
        <v>0</v>
      </c>
      <c r="G67" s="28">
        <v>0</v>
      </c>
      <c r="H67" s="28">
        <f t="shared" si="13"/>
        <v>0</v>
      </c>
      <c r="I67" s="17">
        <f>H67*K52</f>
        <v>0</v>
      </c>
    </row>
    <row r="68" spans="2:9" x14ac:dyDescent="0.2">
      <c r="B68" s="16" t="s">
        <v>18</v>
      </c>
      <c r="C68" s="28">
        <f>C66-C65</f>
        <v>7</v>
      </c>
      <c r="D68" s="28">
        <v>0</v>
      </c>
      <c r="E68" s="28">
        <v>0</v>
      </c>
      <c r="F68" s="28">
        <v>0</v>
      </c>
      <c r="G68" s="28">
        <v>0</v>
      </c>
      <c r="H68" s="28">
        <f t="shared" si="13"/>
        <v>7</v>
      </c>
      <c r="I68" s="17">
        <f>H68*K4</f>
        <v>175000</v>
      </c>
    </row>
    <row r="69" spans="2:9" x14ac:dyDescent="0.2">
      <c r="B69" s="16" t="s">
        <v>32</v>
      </c>
      <c r="C69" s="28">
        <f>C65*$K$7-C63</f>
        <v>2</v>
      </c>
      <c r="D69" s="28">
        <f t="shared" ref="D69:G69" si="14">D65*$K$7-D63</f>
        <v>2</v>
      </c>
      <c r="E69" s="28">
        <f t="shared" si="14"/>
        <v>2</v>
      </c>
      <c r="F69" s="28">
        <f t="shared" si="14"/>
        <v>2</v>
      </c>
      <c r="G69" s="28">
        <f t="shared" si="14"/>
        <v>2</v>
      </c>
      <c r="H69" s="28">
        <f t="shared" si="13"/>
        <v>10</v>
      </c>
      <c r="I69" s="17">
        <f>H69*(480/30)*K2</f>
        <v>320</v>
      </c>
    </row>
    <row r="70" spans="2:9" x14ac:dyDescent="0.2">
      <c r="B70" s="16" t="s">
        <v>31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f t="shared" si="13"/>
        <v>0</v>
      </c>
      <c r="I70" s="17">
        <f>H70*E22</f>
        <v>0</v>
      </c>
    </row>
    <row r="71" spans="2:9" x14ac:dyDescent="0.2">
      <c r="B71" s="16" t="s">
        <v>30</v>
      </c>
      <c r="C71" s="29">
        <f>C62+C63-C64</f>
        <v>6</v>
      </c>
      <c r="D71" s="29">
        <f t="shared" ref="D71:G71" si="15">D62+D63-D64</f>
        <v>9</v>
      </c>
      <c r="E71" s="29">
        <f t="shared" si="15"/>
        <v>9</v>
      </c>
      <c r="F71" s="29">
        <f t="shared" si="15"/>
        <v>6</v>
      </c>
      <c r="G71" s="29">
        <f t="shared" si="15"/>
        <v>1</v>
      </c>
      <c r="H71" s="28">
        <f t="shared" si="13"/>
        <v>31</v>
      </c>
      <c r="I71" s="18">
        <f>H71*F4</f>
        <v>620</v>
      </c>
    </row>
    <row r="72" spans="2:9" ht="17" thickBot="1" x14ac:dyDescent="0.25">
      <c r="B72" s="19" t="s">
        <v>23</v>
      </c>
      <c r="C72" s="31">
        <f>AVERAGE(C62,C71)</f>
        <v>3</v>
      </c>
      <c r="D72" s="31">
        <f t="shared" ref="D72:G72" si="16">AVERAGE(D62,D71)</f>
        <v>7.5</v>
      </c>
      <c r="E72" s="31">
        <f t="shared" si="16"/>
        <v>9</v>
      </c>
      <c r="F72" s="31">
        <f t="shared" si="16"/>
        <v>7.5</v>
      </c>
      <c r="G72" s="31">
        <f t="shared" si="16"/>
        <v>3.5</v>
      </c>
      <c r="H72" s="32">
        <f t="shared" si="13"/>
        <v>30.5</v>
      </c>
      <c r="I72" s="20" t="s">
        <v>15</v>
      </c>
    </row>
    <row r="73" spans="2:9" x14ac:dyDescent="0.2">
      <c r="B73" s="3"/>
      <c r="C73" s="4"/>
      <c r="D73" s="4"/>
      <c r="E73" s="4"/>
      <c r="F73" s="4"/>
      <c r="G73" s="4"/>
      <c r="H73" s="4"/>
      <c r="I73" s="27">
        <f>SUM(I62:I72)</f>
        <v>241940</v>
      </c>
    </row>
    <row r="75" spans="2:9" ht="17" thickBot="1" x14ac:dyDescent="0.25"/>
    <row r="76" spans="2:9" ht="17" thickBot="1" x14ac:dyDescent="0.25">
      <c r="B76" s="21" t="s">
        <v>1</v>
      </c>
      <c r="C76" s="22"/>
      <c r="D76" s="22"/>
      <c r="E76" s="22"/>
      <c r="F76" s="22"/>
      <c r="G76" s="22"/>
      <c r="H76" s="22"/>
      <c r="I76" s="23"/>
    </row>
    <row r="77" spans="2:9" x14ac:dyDescent="0.2">
      <c r="B77" s="24" t="s">
        <v>33</v>
      </c>
      <c r="C77" s="25">
        <v>21</v>
      </c>
      <c r="D77" s="25">
        <v>22</v>
      </c>
      <c r="E77" s="25">
        <v>23</v>
      </c>
      <c r="F77" s="25">
        <v>24</v>
      </c>
      <c r="G77" s="25">
        <v>25</v>
      </c>
      <c r="H77" s="25" t="s">
        <v>24</v>
      </c>
      <c r="I77" s="26" t="s">
        <v>34</v>
      </c>
    </row>
    <row r="78" spans="2:9" x14ac:dyDescent="0.2">
      <c r="B78" s="16" t="s">
        <v>19</v>
      </c>
      <c r="C78" s="28">
        <v>0</v>
      </c>
      <c r="D78" s="28">
        <v>0</v>
      </c>
      <c r="E78" s="28">
        <v>0</v>
      </c>
      <c r="F78" s="28">
        <v>0</v>
      </c>
      <c r="G78" s="28">
        <f>F87</f>
        <v>0</v>
      </c>
      <c r="H78" s="28"/>
      <c r="I78" s="17" t="s">
        <v>15</v>
      </c>
    </row>
    <row r="79" spans="2:9" x14ac:dyDescent="0.2">
      <c r="B79" s="16" t="s">
        <v>20</v>
      </c>
      <c r="C79" s="28">
        <f>ROUND(AVERAGE(C80:G80),0)</f>
        <v>43</v>
      </c>
      <c r="D79" s="28">
        <f>C79</f>
        <v>43</v>
      </c>
      <c r="E79" s="28">
        <f>C79</f>
        <v>43</v>
      </c>
      <c r="F79" s="28">
        <f>C79</f>
        <v>43</v>
      </c>
      <c r="G79" s="28">
        <f>C79</f>
        <v>43</v>
      </c>
      <c r="H79" s="28">
        <f>SUM(C79:G79)</f>
        <v>215</v>
      </c>
      <c r="I79" s="17">
        <f>H79*G3</f>
        <v>43000</v>
      </c>
    </row>
    <row r="80" spans="2:9" x14ac:dyDescent="0.2">
      <c r="B80" s="16" t="s">
        <v>21</v>
      </c>
      <c r="C80" s="28">
        <v>43</v>
      </c>
      <c r="D80" s="28">
        <v>43</v>
      </c>
      <c r="E80" s="28">
        <v>43</v>
      </c>
      <c r="F80" s="28">
        <v>43</v>
      </c>
      <c r="G80" s="28">
        <v>42</v>
      </c>
      <c r="H80" s="28">
        <f>SUM(C80:G80)</f>
        <v>214</v>
      </c>
      <c r="I80" s="17" t="s">
        <v>15</v>
      </c>
    </row>
    <row r="81" spans="2:9" x14ac:dyDescent="0.2">
      <c r="B81" s="16" t="s">
        <v>22</v>
      </c>
      <c r="C81" s="28">
        <v>2</v>
      </c>
      <c r="D81" s="28">
        <v>2</v>
      </c>
      <c r="E81" s="28">
        <v>2</v>
      </c>
      <c r="F81" s="28">
        <v>2</v>
      </c>
      <c r="G81" s="28">
        <v>2</v>
      </c>
      <c r="H81" s="28">
        <f>SUM(C81:G81)</f>
        <v>10</v>
      </c>
      <c r="I81" s="17" t="s">
        <v>15</v>
      </c>
    </row>
    <row r="82" spans="2:9" x14ac:dyDescent="0.2">
      <c r="B82" s="16" t="s">
        <v>16</v>
      </c>
      <c r="C82" s="28">
        <f>K8</f>
        <v>10</v>
      </c>
      <c r="D82" s="28">
        <v>2</v>
      </c>
      <c r="E82" s="28">
        <v>2</v>
      </c>
      <c r="F82" s="28">
        <v>2</v>
      </c>
      <c r="G82" s="28">
        <v>2</v>
      </c>
      <c r="H82" s="28">
        <f t="shared" ref="H82:H88" si="17">SUM(C82:G82)</f>
        <v>18</v>
      </c>
      <c r="I82" s="17" t="s">
        <v>15</v>
      </c>
    </row>
    <row r="83" spans="2:9" x14ac:dyDescent="0.2">
      <c r="B83" s="16" t="s">
        <v>17</v>
      </c>
      <c r="C83" s="28">
        <v>0</v>
      </c>
      <c r="D83" s="29">
        <v>0</v>
      </c>
      <c r="E83" s="28">
        <v>0</v>
      </c>
      <c r="F83" s="28">
        <v>0</v>
      </c>
      <c r="G83" s="28">
        <v>0</v>
      </c>
      <c r="H83" s="28">
        <f t="shared" si="17"/>
        <v>0</v>
      </c>
      <c r="I83" s="17">
        <f>H83*K68</f>
        <v>0</v>
      </c>
    </row>
    <row r="84" spans="2:9" x14ac:dyDescent="0.2">
      <c r="B84" s="16" t="s">
        <v>18</v>
      </c>
      <c r="C84" s="28">
        <f>C82-C81</f>
        <v>8</v>
      </c>
      <c r="D84" s="28">
        <v>0</v>
      </c>
      <c r="E84" s="28">
        <v>0</v>
      </c>
      <c r="F84" s="28">
        <v>0</v>
      </c>
      <c r="G84" s="28">
        <v>0</v>
      </c>
      <c r="H84" s="28">
        <f t="shared" si="17"/>
        <v>8</v>
      </c>
      <c r="I84" s="17">
        <f>H84*K4</f>
        <v>200000</v>
      </c>
    </row>
    <row r="85" spans="2:9" x14ac:dyDescent="0.2">
      <c r="B85" s="16" t="s">
        <v>32</v>
      </c>
      <c r="C85" s="28">
        <f>C81*$K$7-C79</f>
        <v>17</v>
      </c>
      <c r="D85" s="28">
        <f t="shared" ref="D85:G85" si="18">D81*$K$7-D79</f>
        <v>17</v>
      </c>
      <c r="E85" s="28">
        <f t="shared" si="18"/>
        <v>17</v>
      </c>
      <c r="F85" s="28">
        <f t="shared" si="18"/>
        <v>17</v>
      </c>
      <c r="G85" s="28">
        <f t="shared" si="18"/>
        <v>17</v>
      </c>
      <c r="H85" s="28">
        <f t="shared" si="17"/>
        <v>85</v>
      </c>
      <c r="I85" s="17">
        <f>H85*(480/30)*K2</f>
        <v>2720</v>
      </c>
    </row>
    <row r="86" spans="2:9" x14ac:dyDescent="0.2">
      <c r="B86" s="16" t="s">
        <v>31</v>
      </c>
      <c r="C86" s="28">
        <v>0</v>
      </c>
      <c r="D86" s="28">
        <v>0</v>
      </c>
      <c r="E86" s="28">
        <v>0</v>
      </c>
      <c r="F86" s="28">
        <v>0</v>
      </c>
      <c r="G86" s="28">
        <v>0</v>
      </c>
      <c r="H86" s="28">
        <f t="shared" si="17"/>
        <v>0</v>
      </c>
      <c r="I86" s="17">
        <f>H86*E38</f>
        <v>0</v>
      </c>
    </row>
    <row r="87" spans="2:9" x14ac:dyDescent="0.2">
      <c r="B87" s="16" t="s">
        <v>30</v>
      </c>
      <c r="C87" s="29">
        <v>0</v>
      </c>
      <c r="D87" s="29">
        <v>0</v>
      </c>
      <c r="E87" s="29">
        <v>0</v>
      </c>
      <c r="F87" s="29">
        <f>F78+F79-F80</f>
        <v>0</v>
      </c>
      <c r="G87" s="29">
        <f>G78+G79-G80</f>
        <v>1</v>
      </c>
      <c r="H87" s="28">
        <f t="shared" si="17"/>
        <v>1</v>
      </c>
      <c r="I87" s="18">
        <f>H87*G4</f>
        <v>18.5</v>
      </c>
    </row>
    <row r="88" spans="2:9" ht="17" thickBot="1" x14ac:dyDescent="0.25">
      <c r="B88" s="19" t="s">
        <v>23</v>
      </c>
      <c r="C88" s="31">
        <v>0</v>
      </c>
      <c r="D88" s="31">
        <v>0</v>
      </c>
      <c r="E88" s="31">
        <v>0</v>
      </c>
      <c r="F88" s="31">
        <f>AVERAGE(F78,F87)</f>
        <v>0</v>
      </c>
      <c r="G88" s="31">
        <f>AVERAGE(G78,G87)</f>
        <v>0.5</v>
      </c>
      <c r="H88" s="32">
        <f t="shared" si="17"/>
        <v>0.5</v>
      </c>
      <c r="I88" s="20" t="s">
        <v>15</v>
      </c>
    </row>
    <row r="89" spans="2:9" x14ac:dyDescent="0.2">
      <c r="B89" s="3"/>
      <c r="C89" s="4"/>
      <c r="D89" s="4"/>
      <c r="E89" s="4"/>
      <c r="F89" s="4"/>
      <c r="G89" s="4"/>
      <c r="H89" s="4"/>
      <c r="I89" s="27">
        <f>SUM(I78:I88)</f>
        <v>245738.5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D58C-6FC4-C34D-99E4-87AFFECA20D5}">
  <dimension ref="B1:N89"/>
  <sheetViews>
    <sheetView tabSelected="1" workbookViewId="0">
      <selection activeCell="I31" sqref="I31"/>
    </sheetView>
  </sheetViews>
  <sheetFormatPr baseColWidth="10" defaultRowHeight="16" x14ac:dyDescent="0.2"/>
  <cols>
    <col min="2" max="2" width="21.6640625" customWidth="1"/>
    <col min="9" max="9" width="11.6640625" bestFit="1" customWidth="1"/>
  </cols>
  <sheetData>
    <row r="1" spans="2:12" ht="17" thickBot="1" x14ac:dyDescent="0.25"/>
    <row r="2" spans="2:12" x14ac:dyDescent="0.2">
      <c r="B2" s="12"/>
      <c r="C2" s="13" t="s">
        <v>5</v>
      </c>
      <c r="D2" s="14" t="s">
        <v>6</v>
      </c>
      <c r="E2" s="14" t="s">
        <v>7</v>
      </c>
      <c r="F2" s="14" t="s">
        <v>8</v>
      </c>
      <c r="G2" s="15" t="s">
        <v>1</v>
      </c>
      <c r="I2" s="2" t="s">
        <v>25</v>
      </c>
      <c r="K2">
        <v>2</v>
      </c>
      <c r="L2" s="2" t="s">
        <v>36</v>
      </c>
    </row>
    <row r="3" spans="2:12" x14ac:dyDescent="0.2">
      <c r="B3" s="5" t="s">
        <v>9</v>
      </c>
      <c r="C3" s="1">
        <v>100</v>
      </c>
      <c r="D3" s="1">
        <v>80</v>
      </c>
      <c r="E3" s="1">
        <v>25</v>
      </c>
      <c r="F3" s="1">
        <v>150</v>
      </c>
      <c r="G3" s="6">
        <v>200</v>
      </c>
      <c r="I3" s="2" t="s">
        <v>26</v>
      </c>
      <c r="K3" s="2">
        <v>12000</v>
      </c>
      <c r="L3" s="2" t="s">
        <v>11</v>
      </c>
    </row>
    <row r="4" spans="2:12" x14ac:dyDescent="0.2">
      <c r="B4" s="5" t="s">
        <v>10</v>
      </c>
      <c r="C4" s="1">
        <v>15</v>
      </c>
      <c r="D4" s="1">
        <v>12</v>
      </c>
      <c r="E4" s="1">
        <v>11.5</v>
      </c>
      <c r="F4" s="1">
        <v>20</v>
      </c>
      <c r="G4" s="6">
        <v>18.5</v>
      </c>
      <c r="I4" s="2" t="s">
        <v>27</v>
      </c>
      <c r="K4" s="2">
        <v>25000</v>
      </c>
      <c r="L4" s="2" t="s">
        <v>11</v>
      </c>
    </row>
    <row r="5" spans="2:12" ht="17" thickBot="1" x14ac:dyDescent="0.25">
      <c r="B5" s="7" t="s">
        <v>2</v>
      </c>
      <c r="C5" s="8">
        <v>25</v>
      </c>
      <c r="D5" s="8">
        <v>18</v>
      </c>
      <c r="E5" s="8">
        <v>10</v>
      </c>
      <c r="F5" s="8">
        <v>50</v>
      </c>
      <c r="G5" s="9">
        <v>75</v>
      </c>
      <c r="I5" s="2" t="s">
        <v>3</v>
      </c>
    </row>
    <row r="6" spans="2:12" x14ac:dyDescent="0.2">
      <c r="I6" s="2" t="s">
        <v>4</v>
      </c>
    </row>
    <row r="7" spans="2:12" x14ac:dyDescent="0.2">
      <c r="I7" s="2" t="s">
        <v>28</v>
      </c>
      <c r="K7" s="2">
        <v>30</v>
      </c>
      <c r="L7" s="2" t="s">
        <v>12</v>
      </c>
    </row>
    <row r="8" spans="2:12" x14ac:dyDescent="0.2">
      <c r="B8" s="2"/>
      <c r="I8" s="2" t="s">
        <v>29</v>
      </c>
      <c r="K8" s="2">
        <v>10</v>
      </c>
      <c r="L8" s="2" t="s">
        <v>13</v>
      </c>
    </row>
    <row r="9" spans="2:12" x14ac:dyDescent="0.2">
      <c r="I9" s="2" t="s">
        <v>14</v>
      </c>
      <c r="K9">
        <f>K7*K8</f>
        <v>300</v>
      </c>
      <c r="L9" s="2" t="s">
        <v>35</v>
      </c>
    </row>
    <row r="10" spans="2:12" x14ac:dyDescent="0.2">
      <c r="B10" s="2"/>
    </row>
    <row r="11" spans="2:12" ht="17" thickBot="1" x14ac:dyDescent="0.25">
      <c r="B11" s="10"/>
      <c r="C11" s="10"/>
      <c r="D11" s="10"/>
      <c r="E11" s="10"/>
      <c r="F11" s="10"/>
      <c r="G11" s="10"/>
      <c r="H11" s="10"/>
      <c r="I11" s="10"/>
    </row>
    <row r="12" spans="2:12" ht="17" thickBot="1" x14ac:dyDescent="0.25">
      <c r="B12" s="21" t="s">
        <v>0</v>
      </c>
      <c r="C12" s="22"/>
      <c r="D12" s="22"/>
      <c r="E12" s="22"/>
      <c r="F12" s="22"/>
      <c r="G12" s="22"/>
      <c r="H12" s="22"/>
      <c r="I12" s="23"/>
      <c r="J12" s="11"/>
    </row>
    <row r="13" spans="2:12" x14ac:dyDescent="0.2">
      <c r="B13" s="24" t="s">
        <v>33</v>
      </c>
      <c r="C13" s="25">
        <v>21</v>
      </c>
      <c r="D13" s="25">
        <v>22</v>
      </c>
      <c r="E13" s="25">
        <v>23</v>
      </c>
      <c r="F13" s="25">
        <v>24</v>
      </c>
      <c r="G13" s="25">
        <v>25</v>
      </c>
      <c r="H13" s="25" t="s">
        <v>24</v>
      </c>
      <c r="I13" s="26" t="s">
        <v>34</v>
      </c>
    </row>
    <row r="14" spans="2:12" x14ac:dyDescent="0.2">
      <c r="B14" s="16" t="s">
        <v>19</v>
      </c>
      <c r="C14" s="28">
        <v>0</v>
      </c>
      <c r="D14" s="28">
        <f>C23</f>
        <v>0</v>
      </c>
      <c r="E14" s="28">
        <f>D23</f>
        <v>0</v>
      </c>
      <c r="F14" s="28">
        <f>E23</f>
        <v>0</v>
      </c>
      <c r="G14" s="28">
        <f>F23</f>
        <v>0</v>
      </c>
      <c r="H14" s="28">
        <f>SUM(C14:G14)</f>
        <v>0</v>
      </c>
      <c r="I14" s="17" t="s">
        <v>15</v>
      </c>
    </row>
    <row r="15" spans="2:12" x14ac:dyDescent="0.2">
      <c r="B15" s="16" t="s">
        <v>20</v>
      </c>
      <c r="C15" s="28">
        <f>C16</f>
        <v>145</v>
      </c>
      <c r="D15" s="28">
        <f t="shared" ref="D15:G15" si="0">D16</f>
        <v>145</v>
      </c>
      <c r="E15" s="28">
        <f t="shared" si="0"/>
        <v>145</v>
      </c>
      <c r="F15" s="28">
        <f t="shared" si="0"/>
        <v>145</v>
      </c>
      <c r="G15" s="28">
        <f t="shared" si="0"/>
        <v>145</v>
      </c>
      <c r="H15" s="28">
        <f>SUM(C15:G15)</f>
        <v>725</v>
      </c>
      <c r="I15" s="17">
        <f>H15*C3</f>
        <v>72500</v>
      </c>
    </row>
    <row r="16" spans="2:12" x14ac:dyDescent="0.2">
      <c r="B16" s="16" t="s">
        <v>21</v>
      </c>
      <c r="C16" s="28">
        <v>145</v>
      </c>
      <c r="D16" s="28">
        <v>145</v>
      </c>
      <c r="E16" s="28">
        <v>145</v>
      </c>
      <c r="F16" s="28">
        <v>145</v>
      </c>
      <c r="G16" s="28">
        <v>145</v>
      </c>
      <c r="H16" s="28">
        <f>SUM(C16:G16)</f>
        <v>725</v>
      </c>
      <c r="I16" s="17" t="s">
        <v>15</v>
      </c>
    </row>
    <row r="17" spans="2:14" x14ac:dyDescent="0.2">
      <c r="B17" s="16" t="s">
        <v>22</v>
      </c>
      <c r="C17" s="28">
        <f>ROUND(C15/$K$7,0)</f>
        <v>5</v>
      </c>
      <c r="D17" s="28">
        <f t="shared" ref="D17:G17" si="1">ROUND(D15/$K$7,0)</f>
        <v>5</v>
      </c>
      <c r="E17" s="28">
        <f t="shared" si="1"/>
        <v>5</v>
      </c>
      <c r="F17" s="28">
        <f t="shared" si="1"/>
        <v>5</v>
      </c>
      <c r="G17" s="28">
        <f t="shared" si="1"/>
        <v>5</v>
      </c>
      <c r="H17" s="28">
        <f t="shared" ref="H17:H24" si="2">SUM(C17:G17)</f>
        <v>25</v>
      </c>
      <c r="I17" s="17" t="s">
        <v>15</v>
      </c>
    </row>
    <row r="18" spans="2:14" x14ac:dyDescent="0.2">
      <c r="B18" s="16" t="s">
        <v>16</v>
      </c>
      <c r="C18" s="28">
        <f>K8</f>
        <v>10</v>
      </c>
      <c r="D18" s="28">
        <f>C17</f>
        <v>5</v>
      </c>
      <c r="E18" s="28">
        <f>D18</f>
        <v>5</v>
      </c>
      <c r="F18" s="28">
        <f>E18</f>
        <v>5</v>
      </c>
      <c r="G18" s="28">
        <f>F18</f>
        <v>5</v>
      </c>
      <c r="H18" s="28">
        <f t="shared" si="2"/>
        <v>30</v>
      </c>
      <c r="I18" s="17" t="s">
        <v>15</v>
      </c>
    </row>
    <row r="19" spans="2:14" x14ac:dyDescent="0.2">
      <c r="B19" s="16" t="s">
        <v>17</v>
      </c>
      <c r="C19" s="28">
        <v>0</v>
      </c>
      <c r="D19" s="29">
        <v>0</v>
      </c>
      <c r="E19" s="28">
        <v>0</v>
      </c>
      <c r="F19" s="28">
        <v>0</v>
      </c>
      <c r="G19" s="28">
        <v>0</v>
      </c>
      <c r="H19" s="28">
        <f t="shared" si="2"/>
        <v>0</v>
      </c>
      <c r="I19" s="17">
        <f>H19*K3</f>
        <v>0</v>
      </c>
    </row>
    <row r="20" spans="2:14" x14ac:dyDescent="0.2">
      <c r="B20" s="16" t="s">
        <v>18</v>
      </c>
      <c r="C20" s="28">
        <f>C18-C17</f>
        <v>5</v>
      </c>
      <c r="D20" s="28">
        <v>0</v>
      </c>
      <c r="E20" s="28">
        <v>0</v>
      </c>
      <c r="F20" s="28">
        <v>0</v>
      </c>
      <c r="G20" s="28">
        <v>0</v>
      </c>
      <c r="H20" s="28">
        <f t="shared" si="2"/>
        <v>5</v>
      </c>
      <c r="I20" s="17">
        <f>H20*K4</f>
        <v>125000</v>
      </c>
    </row>
    <row r="21" spans="2:14" x14ac:dyDescent="0.2">
      <c r="B21" s="16" t="s">
        <v>32</v>
      </c>
      <c r="C21" s="28">
        <f>C17*$K$7-C15</f>
        <v>5</v>
      </c>
      <c r="D21" s="28">
        <f t="shared" ref="D21:G21" si="3">D17*$K$7-D16</f>
        <v>5</v>
      </c>
      <c r="E21" s="28">
        <f t="shared" si="3"/>
        <v>5</v>
      </c>
      <c r="F21" s="28">
        <f t="shared" si="3"/>
        <v>5</v>
      </c>
      <c r="G21" s="28">
        <f t="shared" si="3"/>
        <v>5</v>
      </c>
      <c r="H21" s="28">
        <f t="shared" si="2"/>
        <v>25</v>
      </c>
      <c r="I21" s="17">
        <f>H21*(480/30)*K2</f>
        <v>800</v>
      </c>
    </row>
    <row r="22" spans="2:14" x14ac:dyDescent="0.2">
      <c r="B22" s="16" t="s">
        <v>31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f t="shared" si="2"/>
        <v>0</v>
      </c>
      <c r="I22" s="17">
        <f>H22*C5</f>
        <v>0</v>
      </c>
      <c r="N22" s="33"/>
    </row>
    <row r="23" spans="2:14" x14ac:dyDescent="0.2">
      <c r="B23" s="16" t="s">
        <v>30</v>
      </c>
      <c r="C23" s="29">
        <f>C14+C15-C16</f>
        <v>0</v>
      </c>
      <c r="D23" s="29">
        <f t="shared" ref="D23:G23" si="4">D14+D15-D16</f>
        <v>0</v>
      </c>
      <c r="E23" s="29">
        <f t="shared" si="4"/>
        <v>0</v>
      </c>
      <c r="F23" s="29">
        <f t="shared" si="4"/>
        <v>0</v>
      </c>
      <c r="G23" s="29">
        <f t="shared" si="4"/>
        <v>0</v>
      </c>
      <c r="H23" s="30">
        <f t="shared" si="2"/>
        <v>0</v>
      </c>
      <c r="I23" s="18">
        <f>H23*C4</f>
        <v>0</v>
      </c>
    </row>
    <row r="24" spans="2:14" ht="17" thickBot="1" x14ac:dyDescent="0.25">
      <c r="B24" s="19" t="s">
        <v>23</v>
      </c>
      <c r="C24" s="31">
        <f>AVERAGE(C14,C23)</f>
        <v>0</v>
      </c>
      <c r="D24" s="31">
        <f t="shared" ref="D24:G24" si="5">AVERAGE(D14,D23)</f>
        <v>0</v>
      </c>
      <c r="E24" s="31">
        <f t="shared" si="5"/>
        <v>0</v>
      </c>
      <c r="F24" s="31">
        <f t="shared" si="5"/>
        <v>0</v>
      </c>
      <c r="G24" s="31">
        <f t="shared" si="5"/>
        <v>0</v>
      </c>
      <c r="H24" s="32">
        <f t="shared" si="2"/>
        <v>0</v>
      </c>
      <c r="I24" s="20" t="s">
        <v>15</v>
      </c>
    </row>
    <row r="25" spans="2:14" x14ac:dyDescent="0.2">
      <c r="B25" s="3"/>
      <c r="C25" s="4"/>
      <c r="D25" s="4"/>
      <c r="E25" s="4"/>
      <c r="F25" s="4"/>
      <c r="G25" s="4"/>
      <c r="H25" s="4"/>
      <c r="I25" s="27">
        <f>SUM(I14:I24)</f>
        <v>198300</v>
      </c>
    </row>
    <row r="27" spans="2:14" ht="17" thickBot="1" x14ac:dyDescent="0.25"/>
    <row r="28" spans="2:14" ht="17" thickBot="1" x14ac:dyDescent="0.25">
      <c r="B28" s="21" t="s">
        <v>37</v>
      </c>
      <c r="C28" s="22"/>
      <c r="D28" s="22"/>
      <c r="E28" s="22"/>
      <c r="F28" s="22"/>
      <c r="G28" s="22"/>
      <c r="H28" s="22"/>
      <c r="I28" s="23"/>
    </row>
    <row r="29" spans="2:14" x14ac:dyDescent="0.2">
      <c r="B29" s="24" t="s">
        <v>33</v>
      </c>
      <c r="C29" s="25">
        <v>21</v>
      </c>
      <c r="D29" s="25">
        <v>22</v>
      </c>
      <c r="E29" s="25">
        <v>23</v>
      </c>
      <c r="F29" s="25">
        <v>24</v>
      </c>
      <c r="G29" s="25">
        <v>25</v>
      </c>
      <c r="H29" s="25" t="s">
        <v>24</v>
      </c>
      <c r="I29" s="26" t="s">
        <v>34</v>
      </c>
    </row>
    <row r="30" spans="2:14" x14ac:dyDescent="0.2">
      <c r="B30" s="16" t="s">
        <v>19</v>
      </c>
      <c r="C30" s="28">
        <v>0</v>
      </c>
      <c r="D30" s="28">
        <f>C39</f>
        <v>0</v>
      </c>
      <c r="E30" s="28">
        <f t="shared" ref="E30:G30" si="6">D39</f>
        <v>0</v>
      </c>
      <c r="F30" s="28">
        <f t="shared" si="6"/>
        <v>0</v>
      </c>
      <c r="G30" s="28">
        <f t="shared" si="6"/>
        <v>0</v>
      </c>
      <c r="H30" s="28">
        <f>SUM(C30:G30)</f>
        <v>0</v>
      </c>
      <c r="I30" s="17" t="s">
        <v>15</v>
      </c>
    </row>
    <row r="31" spans="2:14" x14ac:dyDescent="0.2">
      <c r="B31" s="16" t="s">
        <v>20</v>
      </c>
      <c r="C31" s="28">
        <f>C32</f>
        <v>154</v>
      </c>
      <c r="D31" s="28">
        <f t="shared" ref="D31:G31" si="7">D32</f>
        <v>152</v>
      </c>
      <c r="E31" s="28">
        <f t="shared" si="7"/>
        <v>151</v>
      </c>
      <c r="F31" s="28">
        <f t="shared" si="7"/>
        <v>150</v>
      </c>
      <c r="G31" s="28">
        <f t="shared" si="7"/>
        <v>148</v>
      </c>
      <c r="H31" s="28">
        <f>SUM(C31:G31)</f>
        <v>755</v>
      </c>
      <c r="I31" s="17">
        <f>H31*D3</f>
        <v>60400</v>
      </c>
    </row>
    <row r="32" spans="2:14" x14ac:dyDescent="0.2">
      <c r="B32" s="16" t="s">
        <v>21</v>
      </c>
      <c r="C32" s="28">
        <v>154</v>
      </c>
      <c r="D32" s="28">
        <v>152</v>
      </c>
      <c r="E32" s="28">
        <v>151</v>
      </c>
      <c r="F32" s="28">
        <v>150</v>
      </c>
      <c r="G32" s="28">
        <v>148</v>
      </c>
      <c r="H32" s="28">
        <f>SUM(C32:G32)</f>
        <v>755</v>
      </c>
      <c r="I32" s="17" t="s">
        <v>15</v>
      </c>
    </row>
    <row r="33" spans="2:9" x14ac:dyDescent="0.2">
      <c r="B33" s="16" t="s">
        <v>22</v>
      </c>
      <c r="C33" s="28">
        <v>6</v>
      </c>
      <c r="D33" s="28">
        <v>6</v>
      </c>
      <c r="E33" s="28">
        <v>6</v>
      </c>
      <c r="F33" s="28">
        <v>5</v>
      </c>
      <c r="G33" s="28">
        <v>5</v>
      </c>
      <c r="H33" s="28">
        <f t="shared" ref="H33:H37" si="8">SUM(C33:G33)</f>
        <v>28</v>
      </c>
      <c r="I33" s="17" t="s">
        <v>15</v>
      </c>
    </row>
    <row r="34" spans="2:9" x14ac:dyDescent="0.2">
      <c r="B34" s="16" t="s">
        <v>16</v>
      </c>
      <c r="C34" s="28">
        <f>K8</f>
        <v>10</v>
      </c>
      <c r="D34" s="28">
        <f>C33</f>
        <v>6</v>
      </c>
      <c r="E34" s="28">
        <f>D34</f>
        <v>6</v>
      </c>
      <c r="F34" s="28">
        <f>E34</f>
        <v>6</v>
      </c>
      <c r="G34" s="28">
        <v>5</v>
      </c>
      <c r="H34" s="28">
        <f t="shared" si="8"/>
        <v>33</v>
      </c>
      <c r="I34" s="17" t="s">
        <v>15</v>
      </c>
    </row>
    <row r="35" spans="2:9" x14ac:dyDescent="0.2">
      <c r="B35" s="16" t="s">
        <v>17</v>
      </c>
      <c r="C35" s="28">
        <v>0</v>
      </c>
      <c r="D35" s="29">
        <v>0</v>
      </c>
      <c r="E35" s="28">
        <v>0</v>
      </c>
      <c r="F35" s="28">
        <v>0</v>
      </c>
      <c r="G35" s="28">
        <v>0</v>
      </c>
      <c r="H35" s="28">
        <f t="shared" si="8"/>
        <v>0</v>
      </c>
      <c r="I35" s="17">
        <f>H35*K19</f>
        <v>0</v>
      </c>
    </row>
    <row r="36" spans="2:9" x14ac:dyDescent="0.2">
      <c r="B36" s="16" t="s">
        <v>18</v>
      </c>
      <c r="C36" s="28">
        <f>C34-C33</f>
        <v>4</v>
      </c>
      <c r="D36" s="28">
        <v>0</v>
      </c>
      <c r="E36" s="28">
        <v>0</v>
      </c>
      <c r="F36" s="28">
        <f>F34-F33</f>
        <v>1</v>
      </c>
      <c r="G36" s="28">
        <v>0</v>
      </c>
      <c r="H36" s="28">
        <f t="shared" si="8"/>
        <v>5</v>
      </c>
      <c r="I36" s="17">
        <f>H36*K4</f>
        <v>125000</v>
      </c>
    </row>
    <row r="37" spans="2:9" x14ac:dyDescent="0.2">
      <c r="B37" s="16" t="s">
        <v>32</v>
      </c>
      <c r="C37" s="28">
        <f>C33*$K$7-C31</f>
        <v>26</v>
      </c>
      <c r="D37" s="28">
        <f t="shared" ref="D37:G37" si="9">D33*$K$7-D31</f>
        <v>28</v>
      </c>
      <c r="E37" s="28">
        <f t="shared" si="9"/>
        <v>29</v>
      </c>
      <c r="F37" s="28">
        <f t="shared" si="9"/>
        <v>0</v>
      </c>
      <c r="G37" s="28">
        <f t="shared" si="9"/>
        <v>2</v>
      </c>
      <c r="H37" s="28">
        <f t="shared" si="8"/>
        <v>85</v>
      </c>
      <c r="I37" s="17">
        <f>H37*(480/30)*K2</f>
        <v>2720</v>
      </c>
    </row>
    <row r="38" spans="2:9" x14ac:dyDescent="0.2">
      <c r="B38" s="16" t="s">
        <v>31</v>
      </c>
      <c r="C38" s="29">
        <f>ABS(C30+C31-C32)</f>
        <v>0</v>
      </c>
      <c r="D38" s="29">
        <f>ABS(D30+D31-D32)+C38</f>
        <v>0</v>
      </c>
      <c r="E38" s="29">
        <f>E30+E31-E32+D38</f>
        <v>0</v>
      </c>
      <c r="F38" s="29">
        <f>E38-(F31-F32)</f>
        <v>0</v>
      </c>
      <c r="G38" s="29">
        <f>F38-(G31-G32)</f>
        <v>0</v>
      </c>
      <c r="H38" s="28">
        <f>SUM(C38:G38)</f>
        <v>0</v>
      </c>
      <c r="I38" s="17">
        <f>H38*D5</f>
        <v>0</v>
      </c>
    </row>
    <row r="39" spans="2:9" x14ac:dyDescent="0.2">
      <c r="B39" s="16" t="s">
        <v>30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30">
        <f>SUM(C39:G39)</f>
        <v>0</v>
      </c>
      <c r="I39" s="18">
        <f>H39*C20</f>
        <v>0</v>
      </c>
    </row>
    <row r="40" spans="2:9" ht="17" thickBot="1" x14ac:dyDescent="0.25">
      <c r="B40" s="19" t="s">
        <v>23</v>
      </c>
      <c r="C40" s="31">
        <f>AVERAGE(C30,C39)</f>
        <v>0</v>
      </c>
      <c r="D40" s="31">
        <f t="shared" ref="D40:H40" si="10">AVERAGE(D30,D39)</f>
        <v>0</v>
      </c>
      <c r="E40" s="31">
        <f t="shared" si="10"/>
        <v>0</v>
      </c>
      <c r="F40" s="31">
        <f t="shared" si="10"/>
        <v>0</v>
      </c>
      <c r="G40" s="31">
        <f t="shared" si="10"/>
        <v>0</v>
      </c>
      <c r="H40" s="31">
        <f t="shared" si="10"/>
        <v>0</v>
      </c>
      <c r="I40" s="20" t="s">
        <v>15</v>
      </c>
    </row>
    <row r="41" spans="2:9" x14ac:dyDescent="0.2">
      <c r="B41" s="3"/>
      <c r="C41" s="4"/>
      <c r="D41" s="4"/>
      <c r="E41" s="4"/>
      <c r="F41" s="4"/>
      <c r="G41" s="4"/>
      <c r="H41" s="4"/>
      <c r="I41" s="27">
        <f>SUM(I30:I40)</f>
        <v>188120</v>
      </c>
    </row>
    <row r="43" spans="2:9" ht="17" thickBot="1" x14ac:dyDescent="0.25"/>
    <row r="44" spans="2:9" ht="17" thickBot="1" x14ac:dyDescent="0.25">
      <c r="B44" s="21" t="s">
        <v>38</v>
      </c>
      <c r="C44" s="22"/>
      <c r="D44" s="22"/>
      <c r="E44" s="22"/>
      <c r="F44" s="22"/>
      <c r="G44" s="22"/>
      <c r="H44" s="22"/>
      <c r="I44" s="23"/>
    </row>
    <row r="45" spans="2:9" x14ac:dyDescent="0.2">
      <c r="B45" s="24" t="s">
        <v>33</v>
      </c>
      <c r="C45" s="25">
        <v>21</v>
      </c>
      <c r="D45" s="25">
        <v>22</v>
      </c>
      <c r="E45" s="25">
        <v>23</v>
      </c>
      <c r="F45" s="25">
        <v>24</v>
      </c>
      <c r="G45" s="25">
        <v>25</v>
      </c>
      <c r="H45" s="25" t="s">
        <v>24</v>
      </c>
      <c r="I45" s="26" t="s">
        <v>34</v>
      </c>
    </row>
    <row r="46" spans="2:9" x14ac:dyDescent="0.2">
      <c r="B46" s="16" t="s">
        <v>19</v>
      </c>
      <c r="C46" s="28">
        <v>0</v>
      </c>
      <c r="D46" s="28">
        <f>C55</f>
        <v>0</v>
      </c>
      <c r="E46" s="28">
        <f>D55</f>
        <v>0</v>
      </c>
      <c r="F46" s="28">
        <f>E55</f>
        <v>0</v>
      </c>
      <c r="G46" s="28">
        <f>F55</f>
        <v>0</v>
      </c>
      <c r="H46" s="28">
        <f>SUM(C46:G46)</f>
        <v>0</v>
      </c>
      <c r="I46" s="17" t="s">
        <v>15</v>
      </c>
    </row>
    <row r="47" spans="2:9" x14ac:dyDescent="0.2">
      <c r="B47" s="16" t="s">
        <v>20</v>
      </c>
      <c r="C47" s="28">
        <f>C48</f>
        <v>129</v>
      </c>
      <c r="D47" s="28">
        <f t="shared" ref="D47:G47" si="11">D48</f>
        <v>100</v>
      </c>
      <c r="E47" s="28">
        <f t="shared" si="11"/>
        <v>89</v>
      </c>
      <c r="F47" s="28">
        <f t="shared" si="11"/>
        <v>75</v>
      </c>
      <c r="G47" s="28">
        <f t="shared" si="11"/>
        <v>129</v>
      </c>
      <c r="H47" s="28">
        <f>SUM(C47:G47)</f>
        <v>522</v>
      </c>
      <c r="I47" s="17">
        <f>H47*E3</f>
        <v>13050</v>
      </c>
    </row>
    <row r="48" spans="2:9" x14ac:dyDescent="0.2">
      <c r="B48" s="16" t="s">
        <v>21</v>
      </c>
      <c r="C48" s="28">
        <v>129</v>
      </c>
      <c r="D48" s="28">
        <v>100</v>
      </c>
      <c r="E48" s="28">
        <v>89</v>
      </c>
      <c r="F48" s="28">
        <v>75</v>
      </c>
      <c r="G48" s="28">
        <v>129</v>
      </c>
      <c r="H48" s="28">
        <f>SUM(C48:G48)</f>
        <v>522</v>
      </c>
      <c r="I48" s="17" t="s">
        <v>15</v>
      </c>
    </row>
    <row r="49" spans="2:9" x14ac:dyDescent="0.2">
      <c r="B49" s="16" t="s">
        <v>22</v>
      </c>
      <c r="C49" s="28">
        <v>5</v>
      </c>
      <c r="D49" s="28">
        <v>4</v>
      </c>
      <c r="E49" s="28">
        <v>3</v>
      </c>
      <c r="F49" s="28">
        <v>3</v>
      </c>
      <c r="G49" s="28">
        <v>5</v>
      </c>
      <c r="H49" s="28">
        <f t="shared" ref="H49:H55" si="12">SUM(C49:G49)</f>
        <v>20</v>
      </c>
      <c r="I49" s="17" t="s">
        <v>15</v>
      </c>
    </row>
    <row r="50" spans="2:9" x14ac:dyDescent="0.2">
      <c r="B50" s="16" t="s">
        <v>16</v>
      </c>
      <c r="C50" s="28">
        <v>10</v>
      </c>
      <c r="D50" s="28">
        <f>C49</f>
        <v>5</v>
      </c>
      <c r="E50" s="28">
        <v>4</v>
      </c>
      <c r="F50" s="28">
        <v>3</v>
      </c>
      <c r="G50" s="28">
        <v>3</v>
      </c>
      <c r="H50" s="28">
        <f t="shared" si="12"/>
        <v>25</v>
      </c>
      <c r="I50" s="17" t="s">
        <v>15</v>
      </c>
    </row>
    <row r="51" spans="2:9" x14ac:dyDescent="0.2">
      <c r="B51" s="16" t="s">
        <v>17</v>
      </c>
      <c r="C51" s="28">
        <v>0</v>
      </c>
      <c r="D51" s="29">
        <v>0</v>
      </c>
      <c r="E51" s="28">
        <v>0</v>
      </c>
      <c r="F51" s="28">
        <v>0</v>
      </c>
      <c r="G51" s="28">
        <v>2</v>
      </c>
      <c r="H51" s="28">
        <f t="shared" si="12"/>
        <v>2</v>
      </c>
      <c r="I51" s="17">
        <f>H51*K3</f>
        <v>24000</v>
      </c>
    </row>
    <row r="52" spans="2:9" x14ac:dyDescent="0.2">
      <c r="B52" s="16" t="s">
        <v>18</v>
      </c>
      <c r="C52" s="28">
        <f>C50-C49</f>
        <v>5</v>
      </c>
      <c r="D52" s="28">
        <f>D50-D49</f>
        <v>1</v>
      </c>
      <c r="E52" s="28">
        <v>1</v>
      </c>
      <c r="F52" s="28">
        <v>0</v>
      </c>
      <c r="G52" s="28">
        <v>0</v>
      </c>
      <c r="H52" s="28">
        <f t="shared" si="12"/>
        <v>7</v>
      </c>
      <c r="I52" s="17">
        <f>H52*K4</f>
        <v>175000</v>
      </c>
    </row>
    <row r="53" spans="2:9" x14ac:dyDescent="0.2">
      <c r="B53" s="16" t="s">
        <v>32</v>
      </c>
      <c r="C53" s="28">
        <f>C49*$K$7-C47</f>
        <v>21</v>
      </c>
      <c r="D53" s="28">
        <f t="shared" ref="D53:G53" si="13">D49*$K$7-D47</f>
        <v>20</v>
      </c>
      <c r="E53" s="28">
        <f t="shared" si="13"/>
        <v>1</v>
      </c>
      <c r="F53" s="28">
        <f t="shared" si="13"/>
        <v>15</v>
      </c>
      <c r="G53" s="28">
        <f t="shared" si="13"/>
        <v>21</v>
      </c>
      <c r="H53" s="28">
        <f t="shared" si="12"/>
        <v>78</v>
      </c>
      <c r="I53" s="17">
        <f>H53*(480/30)*K2</f>
        <v>2496</v>
      </c>
    </row>
    <row r="54" spans="2:9" x14ac:dyDescent="0.2">
      <c r="B54" s="16" t="s">
        <v>31</v>
      </c>
      <c r="C54" s="28">
        <f>ABS(C46+C47-C48)</f>
        <v>0</v>
      </c>
      <c r="D54" s="28">
        <f>C54-ABS(D46+D47-D48)</f>
        <v>0</v>
      </c>
      <c r="E54" s="28">
        <f>D54-ABS(E46+E47-E48)</f>
        <v>0</v>
      </c>
      <c r="F54" s="28">
        <v>0</v>
      </c>
      <c r="G54" s="28">
        <v>0</v>
      </c>
      <c r="H54" s="28">
        <f t="shared" si="12"/>
        <v>0</v>
      </c>
      <c r="I54" s="17">
        <f>H54*E5</f>
        <v>0</v>
      </c>
    </row>
    <row r="55" spans="2:9" x14ac:dyDescent="0.2">
      <c r="B55" s="16" t="s">
        <v>30</v>
      </c>
      <c r="C55" s="29">
        <v>0</v>
      </c>
      <c r="D55" s="29">
        <v>0</v>
      </c>
      <c r="E55" s="29">
        <v>0</v>
      </c>
      <c r="F55" s="29">
        <f>ABS(E54-ABS(F46+F47-F48))</f>
        <v>0</v>
      </c>
      <c r="G55" s="29">
        <f>G46+G47-G48</f>
        <v>0</v>
      </c>
      <c r="H55" s="30">
        <f t="shared" si="12"/>
        <v>0</v>
      </c>
      <c r="I55" s="18">
        <f>H55*E4</f>
        <v>0</v>
      </c>
    </row>
    <row r="56" spans="2:9" ht="17" thickBot="1" x14ac:dyDescent="0.25">
      <c r="B56" s="19" t="s">
        <v>23</v>
      </c>
      <c r="C56" s="31">
        <f>AVERAGE(C46,C55)</f>
        <v>0</v>
      </c>
      <c r="D56" s="31">
        <f t="shared" ref="D56:G56" si="14">AVERAGE(D46,D55)</f>
        <v>0</v>
      </c>
      <c r="E56" s="31">
        <f t="shared" si="14"/>
        <v>0</v>
      </c>
      <c r="F56" s="31">
        <f t="shared" si="14"/>
        <v>0</v>
      </c>
      <c r="G56" s="31">
        <f t="shared" si="14"/>
        <v>0</v>
      </c>
      <c r="H56" s="32">
        <f>SUM(C56:G56)</f>
        <v>0</v>
      </c>
      <c r="I56" s="20" t="s">
        <v>15</v>
      </c>
    </row>
    <row r="57" spans="2:9" x14ac:dyDescent="0.2">
      <c r="B57" s="3"/>
      <c r="C57" s="4"/>
      <c r="D57" s="4"/>
      <c r="E57" s="4"/>
      <c r="F57" s="4"/>
      <c r="G57" s="4"/>
      <c r="H57" s="4"/>
      <c r="I57" s="27">
        <f>SUM(I46:I56)</f>
        <v>214546</v>
      </c>
    </row>
    <row r="59" spans="2:9" ht="17" thickBot="1" x14ac:dyDescent="0.25"/>
    <row r="60" spans="2:9" ht="17" thickBot="1" x14ac:dyDescent="0.25">
      <c r="B60" s="21" t="s">
        <v>39</v>
      </c>
      <c r="C60" s="22"/>
      <c r="D60" s="22"/>
      <c r="E60" s="22"/>
      <c r="F60" s="22"/>
      <c r="G60" s="22"/>
      <c r="H60" s="22"/>
      <c r="I60" s="23"/>
    </row>
    <row r="61" spans="2:9" x14ac:dyDescent="0.2">
      <c r="B61" s="24" t="s">
        <v>33</v>
      </c>
      <c r="C61" s="25">
        <v>21</v>
      </c>
      <c r="D61" s="25">
        <v>22</v>
      </c>
      <c r="E61" s="25">
        <v>23</v>
      </c>
      <c r="F61" s="25">
        <v>24</v>
      </c>
      <c r="G61" s="25">
        <v>25</v>
      </c>
      <c r="H61" s="25" t="s">
        <v>24</v>
      </c>
      <c r="I61" s="26" t="s">
        <v>34</v>
      </c>
    </row>
    <row r="62" spans="2:9" x14ac:dyDescent="0.2">
      <c r="B62" s="16" t="s">
        <v>19</v>
      </c>
      <c r="C62" s="28">
        <v>0</v>
      </c>
      <c r="D62" s="28">
        <f>C71</f>
        <v>0</v>
      </c>
      <c r="E62" s="28">
        <f t="shared" ref="E62:G62" si="15">D71</f>
        <v>0</v>
      </c>
      <c r="F62" s="28">
        <f t="shared" si="15"/>
        <v>0</v>
      </c>
      <c r="G62" s="28">
        <f t="shared" si="15"/>
        <v>0</v>
      </c>
      <c r="H62" s="28"/>
      <c r="I62" s="17" t="s">
        <v>15</v>
      </c>
    </row>
    <row r="63" spans="2:9" x14ac:dyDescent="0.2">
      <c r="B63" s="16" t="s">
        <v>20</v>
      </c>
      <c r="C63" s="28">
        <f>C64</f>
        <v>82</v>
      </c>
      <c r="D63" s="28">
        <f t="shared" ref="D63:G63" si="16">D64</f>
        <v>85</v>
      </c>
      <c r="E63" s="28">
        <f t="shared" si="16"/>
        <v>88</v>
      </c>
      <c r="F63" s="28">
        <f t="shared" si="16"/>
        <v>91</v>
      </c>
      <c r="G63" s="28">
        <f t="shared" si="16"/>
        <v>93</v>
      </c>
      <c r="H63" s="28">
        <f>SUM(C63:G63)</f>
        <v>439</v>
      </c>
      <c r="I63" s="17">
        <f>H63*F3</f>
        <v>65850</v>
      </c>
    </row>
    <row r="64" spans="2:9" x14ac:dyDescent="0.2">
      <c r="B64" s="16" t="s">
        <v>21</v>
      </c>
      <c r="C64" s="28">
        <v>82</v>
      </c>
      <c r="D64" s="28">
        <v>85</v>
      </c>
      <c r="E64" s="28">
        <v>88</v>
      </c>
      <c r="F64" s="28">
        <v>91</v>
      </c>
      <c r="G64" s="28">
        <v>93</v>
      </c>
      <c r="H64" s="28">
        <f>SUM(C64:G64)</f>
        <v>439</v>
      </c>
      <c r="I64" s="17" t="s">
        <v>15</v>
      </c>
    </row>
    <row r="65" spans="2:9" x14ac:dyDescent="0.2">
      <c r="B65" s="16" t="s">
        <v>22</v>
      </c>
      <c r="C65" s="28">
        <v>3</v>
      </c>
      <c r="D65" s="28">
        <f>C65</f>
        <v>3</v>
      </c>
      <c r="E65" s="28">
        <f>D65</f>
        <v>3</v>
      </c>
      <c r="F65" s="28">
        <v>4</v>
      </c>
      <c r="G65" s="28">
        <f>F65</f>
        <v>4</v>
      </c>
      <c r="H65" s="28">
        <f>SUM(C65:G65)</f>
        <v>17</v>
      </c>
      <c r="I65" s="17" t="s">
        <v>15</v>
      </c>
    </row>
    <row r="66" spans="2:9" x14ac:dyDescent="0.2">
      <c r="B66" s="16" t="s">
        <v>16</v>
      </c>
      <c r="C66" s="28">
        <v>10</v>
      </c>
      <c r="D66" s="28">
        <v>3</v>
      </c>
      <c r="E66" s="28">
        <v>3</v>
      </c>
      <c r="F66" s="28">
        <v>3</v>
      </c>
      <c r="G66" s="28">
        <v>4</v>
      </c>
      <c r="H66" s="28">
        <f t="shared" ref="H66:H72" si="17">SUM(C66:G66)</f>
        <v>23</v>
      </c>
      <c r="I66" s="17" t="s">
        <v>15</v>
      </c>
    </row>
    <row r="67" spans="2:9" x14ac:dyDescent="0.2">
      <c r="B67" s="16" t="s">
        <v>17</v>
      </c>
      <c r="C67" s="28">
        <v>0</v>
      </c>
      <c r="D67" s="29">
        <v>0</v>
      </c>
      <c r="E67" s="28">
        <v>0</v>
      </c>
      <c r="F67" s="28">
        <v>1</v>
      </c>
      <c r="G67" s="28">
        <v>0</v>
      </c>
      <c r="H67" s="28">
        <f t="shared" si="17"/>
        <v>1</v>
      </c>
      <c r="I67" s="17">
        <f>H67*K3</f>
        <v>12000</v>
      </c>
    </row>
    <row r="68" spans="2:9" x14ac:dyDescent="0.2">
      <c r="B68" s="16" t="s">
        <v>18</v>
      </c>
      <c r="C68" s="28">
        <f>C66-C65</f>
        <v>7</v>
      </c>
      <c r="D68" s="28">
        <v>0</v>
      </c>
      <c r="E68" s="28">
        <v>0</v>
      </c>
      <c r="F68" s="28">
        <v>0</v>
      </c>
      <c r="G68" s="28">
        <v>0</v>
      </c>
      <c r="H68" s="28">
        <f t="shared" si="17"/>
        <v>7</v>
      </c>
      <c r="I68" s="17">
        <f>H68*K4</f>
        <v>175000</v>
      </c>
    </row>
    <row r="69" spans="2:9" x14ac:dyDescent="0.2">
      <c r="B69" s="16" t="s">
        <v>32</v>
      </c>
      <c r="C69" s="28">
        <f>C65*$K$7-C63</f>
        <v>8</v>
      </c>
      <c r="D69" s="28">
        <f t="shared" ref="D69:G69" si="18">D65*$K$7-D63</f>
        <v>5</v>
      </c>
      <c r="E69" s="28">
        <f t="shared" si="18"/>
        <v>2</v>
      </c>
      <c r="F69" s="28">
        <f t="shared" si="18"/>
        <v>29</v>
      </c>
      <c r="G69" s="28">
        <f t="shared" si="18"/>
        <v>27</v>
      </c>
      <c r="H69" s="28">
        <f t="shared" si="17"/>
        <v>71</v>
      </c>
      <c r="I69" s="17">
        <f>H69*(480/30)*K2</f>
        <v>2272</v>
      </c>
    </row>
    <row r="70" spans="2:9" x14ac:dyDescent="0.2">
      <c r="B70" s="16" t="s">
        <v>31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f t="shared" si="17"/>
        <v>0</v>
      </c>
      <c r="I70" s="17">
        <f>H70*E22</f>
        <v>0</v>
      </c>
    </row>
    <row r="71" spans="2:9" x14ac:dyDescent="0.2">
      <c r="B71" s="16" t="s">
        <v>30</v>
      </c>
      <c r="C71" s="29">
        <f>C62+C63-C64</f>
        <v>0</v>
      </c>
      <c r="D71" s="29">
        <f t="shared" ref="D71:G71" si="19">D62+D63-D64</f>
        <v>0</v>
      </c>
      <c r="E71" s="29">
        <f t="shared" si="19"/>
        <v>0</v>
      </c>
      <c r="F71" s="29">
        <f t="shared" si="19"/>
        <v>0</v>
      </c>
      <c r="G71" s="29">
        <f t="shared" si="19"/>
        <v>0</v>
      </c>
      <c r="H71" s="28">
        <f t="shared" si="17"/>
        <v>0</v>
      </c>
      <c r="I71" s="18">
        <f>H71*F4</f>
        <v>0</v>
      </c>
    </row>
    <row r="72" spans="2:9" ht="17" thickBot="1" x14ac:dyDescent="0.25">
      <c r="B72" s="19" t="s">
        <v>23</v>
      </c>
      <c r="C72" s="31">
        <f>AVERAGE(C62,C71)</f>
        <v>0</v>
      </c>
      <c r="D72" s="31">
        <f t="shared" ref="D72:G72" si="20">AVERAGE(D62,D71)</f>
        <v>0</v>
      </c>
      <c r="E72" s="31">
        <f t="shared" si="20"/>
        <v>0</v>
      </c>
      <c r="F72" s="31">
        <f t="shared" si="20"/>
        <v>0</v>
      </c>
      <c r="G72" s="31">
        <f t="shared" si="20"/>
        <v>0</v>
      </c>
      <c r="H72" s="32">
        <f t="shared" si="17"/>
        <v>0</v>
      </c>
      <c r="I72" s="20" t="s">
        <v>15</v>
      </c>
    </row>
    <row r="73" spans="2:9" x14ac:dyDescent="0.2">
      <c r="B73" s="3"/>
      <c r="C73" s="4"/>
      <c r="D73" s="4"/>
      <c r="E73" s="4"/>
      <c r="F73" s="4"/>
      <c r="G73" s="4"/>
      <c r="H73" s="4"/>
      <c r="I73" s="27">
        <f>SUM(I62:I72)</f>
        <v>255122</v>
      </c>
    </row>
    <row r="75" spans="2:9" ht="17" thickBot="1" x14ac:dyDescent="0.25"/>
    <row r="76" spans="2:9" ht="17" thickBot="1" x14ac:dyDescent="0.25">
      <c r="B76" s="21" t="s">
        <v>1</v>
      </c>
      <c r="C76" s="22"/>
      <c r="D76" s="22"/>
      <c r="E76" s="22"/>
      <c r="F76" s="22"/>
      <c r="G76" s="22"/>
      <c r="H76" s="22"/>
      <c r="I76" s="23"/>
    </row>
    <row r="77" spans="2:9" x14ac:dyDescent="0.2">
      <c r="B77" s="24" t="s">
        <v>33</v>
      </c>
      <c r="C77" s="25">
        <v>21</v>
      </c>
      <c r="D77" s="25">
        <v>22</v>
      </c>
      <c r="E77" s="25">
        <v>23</v>
      </c>
      <c r="F77" s="25">
        <v>24</v>
      </c>
      <c r="G77" s="25">
        <v>25</v>
      </c>
      <c r="H77" s="25" t="s">
        <v>24</v>
      </c>
      <c r="I77" s="26" t="s">
        <v>34</v>
      </c>
    </row>
    <row r="78" spans="2:9" x14ac:dyDescent="0.2">
      <c r="B78" s="16" t="s">
        <v>19</v>
      </c>
      <c r="C78" s="28">
        <v>0</v>
      </c>
      <c r="D78" s="28">
        <v>0</v>
      </c>
      <c r="E78" s="28">
        <v>0</v>
      </c>
      <c r="F78" s="28">
        <v>0</v>
      </c>
      <c r="G78" s="28">
        <f>F87</f>
        <v>0</v>
      </c>
      <c r="H78" s="28"/>
      <c r="I78" s="17" t="s">
        <v>15</v>
      </c>
    </row>
    <row r="79" spans="2:9" x14ac:dyDescent="0.2">
      <c r="B79" s="16" t="s">
        <v>20</v>
      </c>
      <c r="C79" s="28">
        <f>ROUND(AVERAGE(C80:G80),0)</f>
        <v>43</v>
      </c>
      <c r="D79" s="28">
        <f>C79</f>
        <v>43</v>
      </c>
      <c r="E79" s="28">
        <f>C79</f>
        <v>43</v>
      </c>
      <c r="F79" s="28">
        <f>C79</f>
        <v>43</v>
      </c>
      <c r="G79" s="28">
        <f>G80</f>
        <v>42</v>
      </c>
      <c r="H79" s="28">
        <f>SUM(C79:G79)</f>
        <v>214</v>
      </c>
      <c r="I79" s="17">
        <f>H79*G3</f>
        <v>42800</v>
      </c>
    </row>
    <row r="80" spans="2:9" x14ac:dyDescent="0.2">
      <c r="B80" s="16" t="s">
        <v>21</v>
      </c>
      <c r="C80" s="28">
        <v>43</v>
      </c>
      <c r="D80" s="28">
        <v>43</v>
      </c>
      <c r="E80" s="28">
        <v>43</v>
      </c>
      <c r="F80" s="28">
        <v>43</v>
      </c>
      <c r="G80" s="28">
        <v>42</v>
      </c>
      <c r="H80" s="28">
        <f>SUM(C80:G80)</f>
        <v>214</v>
      </c>
      <c r="I80" s="17" t="s">
        <v>15</v>
      </c>
    </row>
    <row r="81" spans="2:9" x14ac:dyDescent="0.2">
      <c r="B81" s="16" t="s">
        <v>22</v>
      </c>
      <c r="C81" s="28">
        <v>2</v>
      </c>
      <c r="D81" s="28">
        <v>2</v>
      </c>
      <c r="E81" s="28">
        <v>2</v>
      </c>
      <c r="F81" s="28">
        <v>2</v>
      </c>
      <c r="G81" s="28">
        <v>2</v>
      </c>
      <c r="H81" s="28">
        <f>SUM(C81:G81)</f>
        <v>10</v>
      </c>
      <c r="I81" s="17" t="s">
        <v>15</v>
      </c>
    </row>
    <row r="82" spans="2:9" x14ac:dyDescent="0.2">
      <c r="B82" s="16" t="s">
        <v>16</v>
      </c>
      <c r="C82" s="28">
        <f>K8</f>
        <v>10</v>
      </c>
      <c r="D82" s="28">
        <v>2</v>
      </c>
      <c r="E82" s="28">
        <v>2</v>
      </c>
      <c r="F82" s="28">
        <v>2</v>
      </c>
      <c r="G82" s="28">
        <v>2</v>
      </c>
      <c r="H82" s="28">
        <f t="shared" ref="H82:H88" si="21">SUM(C82:G82)</f>
        <v>18</v>
      </c>
      <c r="I82" s="17" t="s">
        <v>15</v>
      </c>
    </row>
    <row r="83" spans="2:9" x14ac:dyDescent="0.2">
      <c r="B83" s="16" t="s">
        <v>17</v>
      </c>
      <c r="C83" s="28">
        <v>0</v>
      </c>
      <c r="D83" s="29">
        <v>0</v>
      </c>
      <c r="E83" s="28">
        <v>0</v>
      </c>
      <c r="F83" s="28">
        <v>0</v>
      </c>
      <c r="G83" s="28">
        <v>0</v>
      </c>
      <c r="H83" s="28">
        <f t="shared" si="21"/>
        <v>0</v>
      </c>
      <c r="I83" s="17">
        <f>H83*K68</f>
        <v>0</v>
      </c>
    </row>
    <row r="84" spans="2:9" x14ac:dyDescent="0.2">
      <c r="B84" s="16" t="s">
        <v>18</v>
      </c>
      <c r="C84" s="28">
        <f>C82-C81</f>
        <v>8</v>
      </c>
      <c r="D84" s="28">
        <v>0</v>
      </c>
      <c r="E84" s="28">
        <v>0</v>
      </c>
      <c r="F84" s="28">
        <v>0</v>
      </c>
      <c r="G84" s="28">
        <v>0</v>
      </c>
      <c r="H84" s="28">
        <f t="shared" si="21"/>
        <v>8</v>
      </c>
      <c r="I84" s="17">
        <f>H84*K4</f>
        <v>200000</v>
      </c>
    </row>
    <row r="85" spans="2:9" x14ac:dyDescent="0.2">
      <c r="B85" s="16" t="s">
        <v>32</v>
      </c>
      <c r="C85" s="28">
        <f>C81*$K$7-C79</f>
        <v>17</v>
      </c>
      <c r="D85" s="28">
        <f t="shared" ref="D85:G85" si="22">D81*$K$7-D79</f>
        <v>17</v>
      </c>
      <c r="E85" s="28">
        <f t="shared" si="22"/>
        <v>17</v>
      </c>
      <c r="F85" s="28">
        <f t="shared" si="22"/>
        <v>17</v>
      </c>
      <c r="G85" s="28">
        <f t="shared" si="22"/>
        <v>18</v>
      </c>
      <c r="H85" s="28">
        <f t="shared" si="21"/>
        <v>86</v>
      </c>
      <c r="I85" s="17">
        <f>H85*(480/30)*K2</f>
        <v>2752</v>
      </c>
    </row>
    <row r="86" spans="2:9" x14ac:dyDescent="0.2">
      <c r="B86" s="16" t="s">
        <v>31</v>
      </c>
      <c r="C86" s="28">
        <v>0</v>
      </c>
      <c r="D86" s="28">
        <v>0</v>
      </c>
      <c r="E86" s="28">
        <v>0</v>
      </c>
      <c r="F86" s="28">
        <v>0</v>
      </c>
      <c r="G86" s="28">
        <v>0</v>
      </c>
      <c r="H86" s="28">
        <f t="shared" si="21"/>
        <v>0</v>
      </c>
      <c r="I86" s="17">
        <f>H86*E38</f>
        <v>0</v>
      </c>
    </row>
    <row r="87" spans="2:9" x14ac:dyDescent="0.2">
      <c r="B87" s="16" t="s">
        <v>30</v>
      </c>
      <c r="C87" s="29">
        <v>0</v>
      </c>
      <c r="D87" s="29">
        <v>0</v>
      </c>
      <c r="E87" s="29">
        <v>0</v>
      </c>
      <c r="F87" s="29">
        <f>F78+F79-F80</f>
        <v>0</v>
      </c>
      <c r="G87" s="29">
        <f>G78+G79-G80</f>
        <v>0</v>
      </c>
      <c r="H87" s="28">
        <f t="shared" si="21"/>
        <v>0</v>
      </c>
      <c r="I87" s="18">
        <f>H87*G4</f>
        <v>0</v>
      </c>
    </row>
    <row r="88" spans="2:9" ht="17" thickBot="1" x14ac:dyDescent="0.25">
      <c r="B88" s="19" t="s">
        <v>23</v>
      </c>
      <c r="C88" s="31">
        <v>0</v>
      </c>
      <c r="D88" s="31">
        <v>0</v>
      </c>
      <c r="E88" s="31">
        <v>0</v>
      </c>
      <c r="F88" s="31">
        <f>AVERAGE(F78,F87)</f>
        <v>0</v>
      </c>
      <c r="G88" s="31">
        <f>AVERAGE(G78,G87)</f>
        <v>0</v>
      </c>
      <c r="H88" s="32">
        <f t="shared" si="21"/>
        <v>0</v>
      </c>
      <c r="I88" s="20" t="s">
        <v>15</v>
      </c>
    </row>
    <row r="89" spans="2:9" x14ac:dyDescent="0.2">
      <c r="B89" s="3"/>
      <c r="C89" s="4"/>
      <c r="D89" s="4"/>
      <c r="E89" s="4"/>
      <c r="F89" s="4"/>
      <c r="G89" s="4"/>
      <c r="H89" s="4"/>
      <c r="I89" s="27">
        <f>SUM(I78:I88)</f>
        <v>245552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</vt:lpstr>
      <vt:lpstr>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 K</dc:creator>
  <cp:lastModifiedBy>Arul K</cp:lastModifiedBy>
  <dcterms:created xsi:type="dcterms:W3CDTF">2024-04-30T21:24:13Z</dcterms:created>
  <dcterms:modified xsi:type="dcterms:W3CDTF">2024-05-04T05:46:21Z</dcterms:modified>
</cp:coreProperties>
</file>