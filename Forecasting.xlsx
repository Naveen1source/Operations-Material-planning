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17550000\Desktop\"/>
    </mc:Choice>
  </mc:AlternateContent>
  <xr:revisionPtr revIDLastSave="0" documentId="13_ncr:1_{97A40AC8-2B9D-4B3A-AD7A-324A60ABB8FE}" xr6:coauthVersionLast="47" xr6:coauthVersionMax="47" xr10:uidLastSave="{00000000-0000-0000-0000-000000000000}"/>
  <bookViews>
    <workbookView xWindow="-108" yWindow="-108" windowWidth="23256" windowHeight="12576" activeTab="4" xr2:uid="{D4C75B08-8214-4B35-BA8C-1F54BCBFE86E}"/>
  </bookViews>
  <sheets>
    <sheet name="Product 1" sheetId="1" r:id="rId1"/>
    <sheet name="Product 2" sheetId="2" r:id="rId2"/>
    <sheet name="Product 3" sheetId="3" r:id="rId3"/>
    <sheet name="Product 4" sheetId="4" r:id="rId4"/>
    <sheet name="Product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3" l="1"/>
  <c r="O5" i="3"/>
  <c r="N6" i="3"/>
  <c r="N5" i="3"/>
  <c r="V14" i="2"/>
  <c r="P20" i="4" l="1"/>
  <c r="P21" i="4"/>
  <c r="P22" i="4"/>
  <c r="P23" i="4"/>
  <c r="P19" i="4"/>
  <c r="B25" i="4"/>
  <c r="B26" i="4"/>
  <c r="B27" i="4"/>
  <c r="B28" i="4"/>
  <c r="B24" i="4"/>
  <c r="E4" i="4"/>
  <c r="E14" i="4"/>
  <c r="M14" i="4"/>
  <c r="M4" i="4"/>
  <c r="M5" i="2"/>
  <c r="I5" i="4"/>
  <c r="J5" i="4" s="1"/>
  <c r="I6" i="4" s="1"/>
  <c r="R4" i="2"/>
  <c r="M4" i="2"/>
  <c r="O4" i="2" s="1"/>
  <c r="J4" i="2"/>
  <c r="J3" i="1"/>
  <c r="G3" i="1"/>
  <c r="I4" i="4"/>
  <c r="K4" i="4" s="1"/>
  <c r="L4" i="4" s="1"/>
  <c r="G7" i="5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6" i="5"/>
  <c r="G5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G4" i="5"/>
  <c r="J5" i="5"/>
  <c r="J6" i="5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4" i="5"/>
  <c r="R5" i="2"/>
  <c r="S5" i="2" s="1"/>
  <c r="T4" i="2"/>
  <c r="U4" i="2" s="1"/>
  <c r="P4" i="2"/>
  <c r="M24" i="4" l="1"/>
  <c r="R6" i="2"/>
  <c r="S6" i="2" s="1"/>
  <c r="R7" i="2" s="1"/>
  <c r="T5" i="2"/>
  <c r="U5" i="2" s="1"/>
  <c r="N5" i="2"/>
  <c r="M6" i="2" s="1"/>
  <c r="P5" i="2"/>
  <c r="K5" i="4" l="1"/>
  <c r="L5" i="4" s="1"/>
  <c r="J6" i="4"/>
  <c r="S7" i="2"/>
  <c r="R8" i="2" s="1"/>
  <c r="T6" i="2"/>
  <c r="U6" i="2" s="1"/>
  <c r="N6" i="2"/>
  <c r="M7" i="2" s="1"/>
  <c r="P6" i="2"/>
  <c r="O5" i="2"/>
  <c r="K6" i="4" l="1"/>
  <c r="L6" i="4" s="1"/>
  <c r="I7" i="4"/>
  <c r="S8" i="2"/>
  <c r="T8" i="2" s="1"/>
  <c r="U8" i="2" s="1"/>
  <c r="T7" i="2"/>
  <c r="U7" i="2" s="1"/>
  <c r="O6" i="2"/>
  <c r="P7" i="2"/>
  <c r="N7" i="2"/>
  <c r="M8" i="2" s="1"/>
  <c r="J7" i="4" l="1"/>
  <c r="I8" i="4" s="1"/>
  <c r="R9" i="2"/>
  <c r="P8" i="2"/>
  <c r="N8" i="2"/>
  <c r="M9" i="2" s="1"/>
  <c r="O7" i="2"/>
  <c r="K7" i="4" l="1"/>
  <c r="L7" i="4" s="1"/>
  <c r="J8" i="4"/>
  <c r="I9" i="4" s="1"/>
  <c r="S9" i="2"/>
  <c r="R10" i="2" s="1"/>
  <c r="O8" i="2"/>
  <c r="P9" i="2"/>
  <c r="N9" i="2"/>
  <c r="M10" i="2" s="1"/>
  <c r="T9" i="2" l="1"/>
  <c r="U9" i="2" s="1"/>
  <c r="J9" i="4"/>
  <c r="I10" i="4" s="1"/>
  <c r="K8" i="4"/>
  <c r="L8" i="4" s="1"/>
  <c r="S10" i="2"/>
  <c r="R11" i="2" s="1"/>
  <c r="P10" i="2"/>
  <c r="N10" i="2"/>
  <c r="M11" i="2" s="1"/>
  <c r="O9" i="2"/>
  <c r="J10" i="4" l="1"/>
  <c r="I11" i="4" s="1"/>
  <c r="K9" i="4"/>
  <c r="L9" i="4" s="1"/>
  <c r="T10" i="2"/>
  <c r="U10" i="2" s="1"/>
  <c r="S11" i="2"/>
  <c r="R12" i="2" s="1"/>
  <c r="P11" i="2"/>
  <c r="N11" i="2"/>
  <c r="O11" i="2" s="1"/>
  <c r="O10" i="2"/>
  <c r="J11" i="4" l="1"/>
  <c r="I12" i="4" s="1"/>
  <c r="J12" i="4" s="1"/>
  <c r="K10" i="4"/>
  <c r="L10" i="4" s="1"/>
  <c r="T11" i="2"/>
  <c r="U11" i="2" s="1"/>
  <c r="M12" i="2"/>
  <c r="S12" i="2"/>
  <c r="R13" i="2" s="1"/>
  <c r="K11" i="4" l="1"/>
  <c r="L11" i="4" s="1"/>
  <c r="I13" i="4"/>
  <c r="K12" i="4"/>
  <c r="L12" i="4" s="1"/>
  <c r="T12" i="2"/>
  <c r="U12" i="2" s="1"/>
  <c r="S13" i="2"/>
  <c r="R14" i="2" s="1"/>
  <c r="P12" i="2"/>
  <c r="N12" i="2"/>
  <c r="M13" i="2" s="1"/>
  <c r="G6" i="2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7" i="2"/>
  <c r="J13" i="4" l="1"/>
  <c r="K13" i="4" s="1"/>
  <c r="L13" i="4" s="1"/>
  <c r="S14" i="2"/>
  <c r="R15" i="2" s="1"/>
  <c r="P13" i="2"/>
  <c r="N13" i="2"/>
  <c r="M14" i="2" s="1"/>
  <c r="O12" i="2"/>
  <c r="I14" i="4" l="1"/>
  <c r="T13" i="2"/>
  <c r="U13" i="2" s="1"/>
  <c r="V4" i="2" s="1"/>
  <c r="T14" i="2"/>
  <c r="U14" i="2" s="1"/>
  <c r="P14" i="2"/>
  <c r="N14" i="2"/>
  <c r="M15" i="2" s="1"/>
  <c r="O13" i="2"/>
  <c r="J14" i="4" l="1"/>
  <c r="I15" i="4" s="1"/>
  <c r="S15" i="2"/>
  <c r="R16" i="2" s="1"/>
  <c r="P15" i="2"/>
  <c r="N15" i="2"/>
  <c r="M16" i="2" s="1"/>
  <c r="O14" i="2"/>
  <c r="K14" i="4" l="1"/>
  <c r="L14" i="4" s="1"/>
  <c r="J15" i="4"/>
  <c r="K15" i="4" s="1"/>
  <c r="L15" i="4" s="1"/>
  <c r="S16" i="2"/>
  <c r="R17" i="2" s="1"/>
  <c r="P16" i="2"/>
  <c r="N16" i="2"/>
  <c r="M17" i="2" s="1"/>
  <c r="O15" i="2"/>
  <c r="I16" i="4" l="1"/>
  <c r="J16" i="4" s="1"/>
  <c r="K16" i="4" s="1"/>
  <c r="L16" i="4" s="1"/>
  <c r="S17" i="2"/>
  <c r="R18" i="2" s="1"/>
  <c r="T15" i="2"/>
  <c r="U15" i="2" s="1"/>
  <c r="T16" i="2"/>
  <c r="U16" i="2" s="1"/>
  <c r="P17" i="2"/>
  <c r="N17" i="2"/>
  <c r="M18" i="2" s="1"/>
  <c r="O16" i="2"/>
  <c r="I17" i="4" l="1"/>
  <c r="S18" i="2"/>
  <c r="R19" i="2" s="1"/>
  <c r="P18" i="2"/>
  <c r="N18" i="2"/>
  <c r="M19" i="2" s="1"/>
  <c r="O17" i="2"/>
  <c r="J17" i="4" l="1"/>
  <c r="S19" i="2"/>
  <c r="R20" i="2" s="1"/>
  <c r="T17" i="2"/>
  <c r="U17" i="2" s="1"/>
  <c r="P19" i="2"/>
  <c r="N19" i="2"/>
  <c r="M20" i="2" s="1"/>
  <c r="O18" i="2"/>
  <c r="K17" i="4" l="1"/>
  <c r="L17" i="4" s="1"/>
  <c r="I18" i="4"/>
  <c r="T18" i="2"/>
  <c r="U18" i="2" s="1"/>
  <c r="S20" i="2"/>
  <c r="R21" i="2" s="1"/>
  <c r="P20" i="2"/>
  <c r="N20" i="2"/>
  <c r="M21" i="2" s="1"/>
  <c r="O19" i="2"/>
  <c r="J18" i="4" l="1"/>
  <c r="K18" i="4" s="1"/>
  <c r="L18" i="4" s="1"/>
  <c r="S21" i="2"/>
  <c r="R22" i="2" s="1"/>
  <c r="P21" i="2"/>
  <c r="N21" i="2"/>
  <c r="M22" i="2" s="1"/>
  <c r="O20" i="2"/>
  <c r="I19" i="4" l="1"/>
  <c r="T19" i="2"/>
  <c r="U19" i="2" s="1"/>
  <c r="T20" i="2"/>
  <c r="U20" i="2" s="1"/>
  <c r="P22" i="2"/>
  <c r="N22" i="2"/>
  <c r="M23" i="2" s="1"/>
  <c r="O21" i="2"/>
  <c r="J19" i="4" l="1"/>
  <c r="I20" i="4" s="1"/>
  <c r="N23" i="2"/>
  <c r="O23" i="2" s="1"/>
  <c r="P23" i="2"/>
  <c r="O22" i="2"/>
  <c r="K19" i="4" l="1"/>
  <c r="L19" i="4" s="1"/>
  <c r="S22" i="2"/>
  <c r="R23" i="2" s="1"/>
  <c r="T21" i="2"/>
  <c r="U21" i="2" s="1"/>
  <c r="J20" i="4" l="1"/>
  <c r="S23" i="2"/>
  <c r="T25" i="2" s="1"/>
  <c r="T22" i="2"/>
  <c r="U22" i="2" s="1"/>
  <c r="K20" i="4" l="1"/>
  <c r="L20" i="4" s="1"/>
  <c r="I21" i="4"/>
  <c r="B25" i="2"/>
  <c r="M30" i="2" s="1"/>
  <c r="T28" i="2"/>
  <c r="T26" i="2"/>
  <c r="B26" i="2" s="1"/>
  <c r="M31" i="2" s="1"/>
  <c r="T24" i="2"/>
  <c r="B24" i="2" s="1"/>
  <c r="M29" i="2" s="1"/>
  <c r="T27" i="2"/>
  <c r="B27" i="2" s="1"/>
  <c r="M32" i="2" s="1"/>
  <c r="B28" i="2"/>
  <c r="M33" i="2" s="1"/>
  <c r="J21" i="4" l="1"/>
  <c r="K21" i="4" s="1"/>
  <c r="L21" i="4" s="1"/>
  <c r="T23" i="2"/>
  <c r="U23" i="2" s="1"/>
  <c r="V24" i="2" s="1"/>
  <c r="I22" i="4" l="1"/>
  <c r="F23" i="1"/>
  <c r="D23" i="1"/>
  <c r="F22" i="5"/>
  <c r="C22" i="5"/>
  <c r="D22" i="5" s="1"/>
  <c r="F21" i="5"/>
  <c r="C21" i="5"/>
  <c r="D21" i="5" s="1"/>
  <c r="F20" i="5"/>
  <c r="C20" i="5"/>
  <c r="D20" i="5" s="1"/>
  <c r="F19" i="5"/>
  <c r="C19" i="5"/>
  <c r="D19" i="5" s="1"/>
  <c r="F18" i="5"/>
  <c r="C18" i="5"/>
  <c r="D18" i="5" s="1"/>
  <c r="F17" i="5"/>
  <c r="C17" i="5"/>
  <c r="D17" i="5" s="1"/>
  <c r="F16" i="5"/>
  <c r="C16" i="5"/>
  <c r="D16" i="5" s="1"/>
  <c r="F15" i="5"/>
  <c r="C15" i="5"/>
  <c r="D15" i="5" s="1"/>
  <c r="F14" i="5"/>
  <c r="C14" i="5"/>
  <c r="D14" i="5" s="1"/>
  <c r="F13" i="5"/>
  <c r="C13" i="5"/>
  <c r="D13" i="5" s="1"/>
  <c r="F12" i="5"/>
  <c r="C12" i="5"/>
  <c r="D12" i="5" s="1"/>
  <c r="F11" i="5"/>
  <c r="C11" i="5"/>
  <c r="D11" i="5" s="1"/>
  <c r="F10" i="5"/>
  <c r="C10" i="5"/>
  <c r="D10" i="5" s="1"/>
  <c r="F9" i="5"/>
  <c r="C9" i="5"/>
  <c r="D9" i="5" s="1"/>
  <c r="F8" i="5"/>
  <c r="C8" i="5"/>
  <c r="D8" i="5" s="1"/>
  <c r="C7" i="5"/>
  <c r="D7" i="5" s="1"/>
  <c r="C6" i="5"/>
  <c r="D6" i="5" s="1"/>
  <c r="C5" i="5"/>
  <c r="D5" i="5" s="1"/>
  <c r="K3" i="5"/>
  <c r="H3" i="5"/>
  <c r="F5" i="4"/>
  <c r="G5" i="4" s="1"/>
  <c r="C5" i="4"/>
  <c r="C6" i="4" s="1"/>
  <c r="G4" i="4"/>
  <c r="D4" i="4"/>
  <c r="K8" i="3"/>
  <c r="J8" i="3"/>
  <c r="I8" i="3"/>
  <c r="H8" i="3"/>
  <c r="K7" i="3"/>
  <c r="J7" i="3"/>
  <c r="I7" i="3"/>
  <c r="H7" i="3"/>
  <c r="K6" i="3"/>
  <c r="J6" i="3"/>
  <c r="I6" i="3"/>
  <c r="H6" i="3"/>
  <c r="L5" i="3" a="1"/>
  <c r="L5" i="3" s="1"/>
  <c r="L9" i="3" s="1"/>
  <c r="K5" i="3"/>
  <c r="J5" i="3"/>
  <c r="J9" i="3" s="1"/>
  <c r="I5" i="3"/>
  <c r="I9" i="3" s="1"/>
  <c r="H5" i="3"/>
  <c r="E23" i="2"/>
  <c r="F23" i="2" s="1"/>
  <c r="D23" i="2"/>
  <c r="E22" i="2"/>
  <c r="F22" i="2" s="1"/>
  <c r="D22" i="2"/>
  <c r="E21" i="2"/>
  <c r="F21" i="2" s="1"/>
  <c r="D21" i="2"/>
  <c r="E20" i="2"/>
  <c r="F20" i="2" s="1"/>
  <c r="D20" i="2"/>
  <c r="E19" i="2"/>
  <c r="F19" i="2" s="1"/>
  <c r="D19" i="2"/>
  <c r="E18" i="2"/>
  <c r="F18" i="2" s="1"/>
  <c r="D18" i="2"/>
  <c r="E17" i="2"/>
  <c r="F17" i="2" s="1"/>
  <c r="D17" i="2"/>
  <c r="E16" i="2"/>
  <c r="F16" i="2" s="1"/>
  <c r="D16" i="2"/>
  <c r="E15" i="2"/>
  <c r="F15" i="2" s="1"/>
  <c r="D15" i="2"/>
  <c r="E14" i="2"/>
  <c r="F14" i="2" s="1"/>
  <c r="D14" i="2"/>
  <c r="E13" i="2"/>
  <c r="F13" i="2" s="1"/>
  <c r="D13" i="2"/>
  <c r="E12" i="2"/>
  <c r="F12" i="2" s="1"/>
  <c r="D12" i="2"/>
  <c r="E11" i="2"/>
  <c r="F11" i="2" s="1"/>
  <c r="D11" i="2"/>
  <c r="E10" i="2"/>
  <c r="F10" i="2" s="1"/>
  <c r="D10" i="2"/>
  <c r="E9" i="2"/>
  <c r="F9" i="2" s="1"/>
  <c r="D9" i="2"/>
  <c r="D8" i="2"/>
  <c r="D7" i="2"/>
  <c r="J5" i="2"/>
  <c r="K5" i="2" s="1"/>
  <c r="K4" i="2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K3" i="1"/>
  <c r="H3" i="1"/>
  <c r="E8" i="1"/>
  <c r="F8" i="1" s="1"/>
  <c r="J22" i="4" l="1"/>
  <c r="I23" i="4" s="1"/>
  <c r="J22" i="1"/>
  <c r="J23" i="1" s="1"/>
  <c r="J24" i="1" s="1"/>
  <c r="J25" i="1" s="1"/>
  <c r="F23" i="5"/>
  <c r="D23" i="5"/>
  <c r="K9" i="3"/>
  <c r="H9" i="3"/>
  <c r="F24" i="2"/>
  <c r="D24" i="2"/>
  <c r="H5" i="5"/>
  <c r="K5" i="5"/>
  <c r="H4" i="5"/>
  <c r="K4" i="5"/>
  <c r="F6" i="4"/>
  <c r="G6" i="4" s="1"/>
  <c r="D6" i="4"/>
  <c r="C7" i="4"/>
  <c r="D5" i="4"/>
  <c r="M7" i="3"/>
  <c r="M8" i="3"/>
  <c r="M5" i="3"/>
  <c r="M6" i="3"/>
  <c r="P19" i="1"/>
  <c r="J6" i="2"/>
  <c r="J7" i="2" s="1"/>
  <c r="K7" i="2" s="1"/>
  <c r="H7" i="2"/>
  <c r="H6" i="2"/>
  <c r="H5" i="1"/>
  <c r="H4" i="1"/>
  <c r="K4" i="1"/>
  <c r="K6" i="1"/>
  <c r="K5" i="1"/>
  <c r="J23" i="4" l="1"/>
  <c r="K23" i="4" s="1"/>
  <c r="L23" i="4" s="1"/>
  <c r="K28" i="4"/>
  <c r="K22" i="4"/>
  <c r="L22" i="4" s="1"/>
  <c r="J26" i="1"/>
  <c r="P20" i="1"/>
  <c r="P18" i="1"/>
  <c r="F7" i="4"/>
  <c r="F8" i="4" s="1"/>
  <c r="M9" i="3"/>
  <c r="J8" i="2"/>
  <c r="J9" i="2" s="1"/>
  <c r="K6" i="5"/>
  <c r="H6" i="5"/>
  <c r="D7" i="4"/>
  <c r="C8" i="4"/>
  <c r="K6" i="2"/>
  <c r="H8" i="2"/>
  <c r="H6" i="1"/>
  <c r="K7" i="1"/>
  <c r="K25" i="4" l="1"/>
  <c r="K26" i="4"/>
  <c r="K24" i="4"/>
  <c r="K27" i="4"/>
  <c r="J27" i="1"/>
  <c r="P22" i="1" s="1"/>
  <c r="P21" i="1"/>
  <c r="G7" i="4"/>
  <c r="C12" i="3"/>
  <c r="N8" i="3"/>
  <c r="C14" i="3" s="1"/>
  <c r="N7" i="3"/>
  <c r="O7" i="3" s="1"/>
  <c r="B25" i="3" s="1"/>
  <c r="P16" i="3" s="1"/>
  <c r="C15" i="3"/>
  <c r="C19" i="3"/>
  <c r="C7" i="3"/>
  <c r="D7" i="3" s="1"/>
  <c r="C11" i="3"/>
  <c r="C3" i="3"/>
  <c r="D3" i="3" s="1"/>
  <c r="P5" i="3"/>
  <c r="C21" i="3"/>
  <c r="C5" i="3"/>
  <c r="D5" i="3" s="1"/>
  <c r="C13" i="3"/>
  <c r="C17" i="3"/>
  <c r="C9" i="3"/>
  <c r="P7" i="3"/>
  <c r="C22" i="3"/>
  <c r="D22" i="3" s="1"/>
  <c r="C4" i="3"/>
  <c r="D4" i="3" s="1"/>
  <c r="C20" i="3"/>
  <c r="K8" i="2"/>
  <c r="K7" i="5"/>
  <c r="H7" i="5"/>
  <c r="C9" i="4"/>
  <c r="D8" i="4"/>
  <c r="F9" i="4"/>
  <c r="G8" i="4"/>
  <c r="B23" i="3"/>
  <c r="P14" i="3" s="1"/>
  <c r="K9" i="2"/>
  <c r="J10" i="2"/>
  <c r="H9" i="2"/>
  <c r="H7" i="1"/>
  <c r="K8" i="1"/>
  <c r="P6" i="3" l="1"/>
  <c r="P8" i="3"/>
  <c r="C8" i="3"/>
  <c r="D8" i="3" s="1"/>
  <c r="C18" i="3"/>
  <c r="O8" i="3"/>
  <c r="B26" i="3" s="1"/>
  <c r="P17" i="3" s="1"/>
  <c r="O6" i="3"/>
  <c r="B24" i="3" s="1"/>
  <c r="P15" i="3" s="1"/>
  <c r="C16" i="3"/>
  <c r="C6" i="3"/>
  <c r="D6" i="3" s="1"/>
  <c r="C10" i="3"/>
  <c r="H8" i="5"/>
  <c r="K8" i="5"/>
  <c r="G9" i="4"/>
  <c r="F10" i="4"/>
  <c r="C10" i="4"/>
  <c r="D9" i="4"/>
  <c r="B27" i="3"/>
  <c r="P18" i="3" s="1"/>
  <c r="D9" i="3"/>
  <c r="J11" i="2"/>
  <c r="K10" i="2"/>
  <c r="H10" i="2"/>
  <c r="H8" i="1"/>
  <c r="K9" i="1"/>
  <c r="K9" i="5" l="1"/>
  <c r="H9" i="5"/>
  <c r="C11" i="4"/>
  <c r="D10" i="4"/>
  <c r="G10" i="4"/>
  <c r="F11" i="4"/>
  <c r="D10" i="3"/>
  <c r="K11" i="2"/>
  <c r="J12" i="2"/>
  <c r="H11" i="2"/>
  <c r="H9" i="1"/>
  <c r="K10" i="1"/>
  <c r="H10" i="5" l="1"/>
  <c r="K10" i="5"/>
  <c r="C12" i="4"/>
  <c r="D11" i="4"/>
  <c r="G11" i="4"/>
  <c r="F12" i="4"/>
  <c r="D11" i="3"/>
  <c r="K12" i="2"/>
  <c r="J13" i="2"/>
  <c r="H12" i="2"/>
  <c r="H10" i="1"/>
  <c r="K11" i="1"/>
  <c r="K11" i="5" l="1"/>
  <c r="H11" i="5"/>
  <c r="C13" i="4"/>
  <c r="D12" i="4"/>
  <c r="G12" i="4"/>
  <c r="F13" i="4"/>
  <c r="D12" i="3"/>
  <c r="E3" i="3" s="1"/>
  <c r="J14" i="2"/>
  <c r="K13" i="2"/>
  <c r="L4" i="2" s="1"/>
  <c r="H13" i="2"/>
  <c r="H11" i="1"/>
  <c r="K12" i="1"/>
  <c r="L3" i="1" s="1"/>
  <c r="I4" i="2" l="1"/>
  <c r="Q4" i="2"/>
  <c r="K12" i="5"/>
  <c r="L3" i="5" s="1"/>
  <c r="H12" i="5"/>
  <c r="I3" i="5" s="1"/>
  <c r="D13" i="4"/>
  <c r="C14" i="4"/>
  <c r="F14" i="4"/>
  <c r="G13" i="4"/>
  <c r="H4" i="4" s="1"/>
  <c r="D13" i="3"/>
  <c r="J15" i="2"/>
  <c r="K14" i="2"/>
  <c r="H14" i="2"/>
  <c r="H12" i="1"/>
  <c r="I3" i="1" s="1"/>
  <c r="K13" i="1"/>
  <c r="H13" i="5" l="1"/>
  <c r="K13" i="5"/>
  <c r="F15" i="4"/>
  <c r="G14" i="4"/>
  <c r="C15" i="4"/>
  <c r="D14" i="4"/>
  <c r="D14" i="3"/>
  <c r="H15" i="2"/>
  <c r="K15" i="2"/>
  <c r="J16" i="2"/>
  <c r="H13" i="1"/>
  <c r="K14" i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5" i="1"/>
  <c r="D5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K14" i="5" l="1"/>
  <c r="H14" i="5"/>
  <c r="D15" i="4"/>
  <c r="C16" i="4"/>
  <c r="G15" i="4"/>
  <c r="F16" i="4"/>
  <c r="D15" i="3"/>
  <c r="K16" i="2"/>
  <c r="J17" i="2"/>
  <c r="H16" i="2"/>
  <c r="H14" i="1"/>
  <c r="K15" i="1"/>
  <c r="H15" i="5" l="1"/>
  <c r="K15" i="5"/>
  <c r="G16" i="4"/>
  <c r="F17" i="4"/>
  <c r="D16" i="4"/>
  <c r="C17" i="4"/>
  <c r="D16" i="3"/>
  <c r="K17" i="2"/>
  <c r="J18" i="2"/>
  <c r="H17" i="2"/>
  <c r="H15" i="1"/>
  <c r="K16" i="1"/>
  <c r="K16" i="5" l="1"/>
  <c r="H16" i="5"/>
  <c r="D17" i="4"/>
  <c r="C18" i="4"/>
  <c r="G17" i="4"/>
  <c r="F18" i="4"/>
  <c r="D17" i="3"/>
  <c r="H18" i="2"/>
  <c r="K18" i="2"/>
  <c r="J19" i="2"/>
  <c r="H16" i="1"/>
  <c r="K17" i="1"/>
  <c r="K17" i="5" l="1"/>
  <c r="H17" i="5"/>
  <c r="G18" i="4"/>
  <c r="F19" i="4"/>
  <c r="D18" i="4"/>
  <c r="C19" i="4"/>
  <c r="D18" i="3"/>
  <c r="K19" i="2"/>
  <c r="J20" i="2"/>
  <c r="H19" i="2"/>
  <c r="H17" i="1"/>
  <c r="K18" i="1"/>
  <c r="K18" i="5" l="1"/>
  <c r="H18" i="5"/>
  <c r="G19" i="4"/>
  <c r="F20" i="4"/>
  <c r="D19" i="4"/>
  <c r="C20" i="4"/>
  <c r="D19" i="3"/>
  <c r="H20" i="2"/>
  <c r="K20" i="2"/>
  <c r="J21" i="2"/>
  <c r="H18" i="1"/>
  <c r="K19" i="1"/>
  <c r="H19" i="5" l="1"/>
  <c r="K19" i="5"/>
  <c r="D20" i="4"/>
  <c r="C21" i="4"/>
  <c r="G20" i="4"/>
  <c r="F21" i="4"/>
  <c r="D20" i="3"/>
  <c r="K21" i="2"/>
  <c r="J22" i="2"/>
  <c r="H21" i="2"/>
  <c r="H19" i="1"/>
  <c r="K20" i="1"/>
  <c r="K20" i="5" l="1"/>
  <c r="G23" i="5"/>
  <c r="G24" i="5" s="1"/>
  <c r="G25" i="5" s="1"/>
  <c r="G26" i="5" s="1"/>
  <c r="H20" i="5"/>
  <c r="G21" i="4"/>
  <c r="F22" i="4"/>
  <c r="D21" i="4"/>
  <c r="C22" i="4"/>
  <c r="D21" i="3"/>
  <c r="H23" i="2"/>
  <c r="H22" i="2"/>
  <c r="K22" i="2"/>
  <c r="J23" i="2"/>
  <c r="H20" i="1"/>
  <c r="K22" i="1"/>
  <c r="K21" i="1"/>
  <c r="H24" i="2" l="1"/>
  <c r="I14" i="2"/>
  <c r="H21" i="5"/>
  <c r="H22" i="5"/>
  <c r="I23" i="5" s="1"/>
  <c r="K21" i="5"/>
  <c r="D22" i="4"/>
  <c r="C23" i="4"/>
  <c r="D23" i="4" s="1"/>
  <c r="E24" i="4" s="1"/>
  <c r="G22" i="4"/>
  <c r="F23" i="4"/>
  <c r="E13" i="3"/>
  <c r="K23" i="2"/>
  <c r="L14" i="2" s="1"/>
  <c r="K24" i="2" s="1"/>
  <c r="L13" i="1"/>
  <c r="L23" i="1" s="1"/>
  <c r="H22" i="1"/>
  <c r="H21" i="1"/>
  <c r="H23" i="1" l="1"/>
  <c r="Q14" i="2"/>
  <c r="P24" i="2" s="1"/>
  <c r="I13" i="1"/>
  <c r="I13" i="5"/>
  <c r="K22" i="5"/>
  <c r="L13" i="5" s="1"/>
  <c r="L23" i="5" s="1"/>
  <c r="G23" i="4"/>
  <c r="H14" i="4" s="1"/>
  <c r="H24" i="4" s="1"/>
  <c r="O19" i="5" l="1"/>
  <c r="B23" i="5"/>
  <c r="O20" i="5" l="1"/>
  <c r="B24" i="5"/>
  <c r="O21" i="5" l="1"/>
  <c r="B25" i="5"/>
  <c r="O22" i="5" l="1"/>
  <c r="B26" i="5"/>
  <c r="G27" i="5"/>
  <c r="O23" i="5" l="1"/>
  <c r="B27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<sst xmlns="http://schemas.openxmlformats.org/spreadsheetml/2006/main" count="111" uniqueCount="44">
  <si>
    <t>Week</t>
  </si>
  <si>
    <t>Demand for Product 1</t>
  </si>
  <si>
    <t>Moving Average</t>
  </si>
  <si>
    <t>Exp Smoothing</t>
  </si>
  <si>
    <t>2 Period Avg</t>
  </si>
  <si>
    <t>5 Period Avg</t>
  </si>
  <si>
    <t>|Error|</t>
  </si>
  <si>
    <t>α = 0.1</t>
  </si>
  <si>
    <t>Seasonality Index</t>
  </si>
  <si>
    <t>Month 1</t>
  </si>
  <si>
    <t>Month 2</t>
  </si>
  <si>
    <t>Month 3</t>
  </si>
  <si>
    <t>Month 4</t>
  </si>
  <si>
    <t>Month 5</t>
  </si>
  <si>
    <t>Week 1</t>
  </si>
  <si>
    <t>Week 2</t>
  </si>
  <si>
    <t>Week 3</t>
  </si>
  <si>
    <t>Week 4</t>
  </si>
  <si>
    <t>AVG weekly Demand</t>
  </si>
  <si>
    <t>Month 6</t>
  </si>
  <si>
    <t>Month 7</t>
  </si>
  <si>
    <t>Demand for Product 2</t>
  </si>
  <si>
    <t>Demand for Product 3</t>
  </si>
  <si>
    <t>Demand for Product 4</t>
  </si>
  <si>
    <t>Demand for Product 5</t>
  </si>
  <si>
    <t>SI</t>
  </si>
  <si>
    <t>α =0.5</t>
  </si>
  <si>
    <t xml:space="preserve">Week </t>
  </si>
  <si>
    <t>Forecast</t>
  </si>
  <si>
    <t>Seasonality Including Trend</t>
  </si>
  <si>
    <t>MAD=</t>
  </si>
  <si>
    <t>3 Period Avg</t>
  </si>
  <si>
    <t>Forecast Including Trend</t>
  </si>
  <si>
    <t xml:space="preserve">	β=0.4</t>
  </si>
  <si>
    <t>α =0.2</t>
  </si>
  <si>
    <t>Ft-1</t>
  </si>
  <si>
    <t>Tt-1</t>
  </si>
  <si>
    <t>FIT</t>
  </si>
  <si>
    <t>α =0.8</t>
  </si>
  <si>
    <t xml:space="preserve">	β=0.2</t>
  </si>
  <si>
    <t>Expo Smoothing</t>
  </si>
  <si>
    <t>Forecast using Seasonality Index</t>
  </si>
  <si>
    <t>MAD =</t>
  </si>
  <si>
    <t>α =0.7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</si>
</sst>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FFF2CC"/>
      </patternFill>
    </fill>
    <fill>
      <patternFill patternType="solid">
        <fgColor theme="4" tint="0.79998168889431442"/>
        <bgColor rgb="FFFFF2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rgb="FFFFF2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2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9">
    <xf numFmtId="0" fontId="0" fillId="0" borderId="0" xfId="0"/>
    <xf numFmtId="0" fontId="2" fillId="0" borderId="0" xfId="0" applyFont="1"/>
    <xf numFmtId="0" fontId="2" fillId="0" borderId="4" xfId="0" applyFont="1" applyBorder="1"/>
    <xf numFmtId="0" fontId="2" fillId="0" borderId="25" xfId="0" applyFont="1" applyBorder="1"/>
    <xf numFmtId="0" fontId="2" fillId="0" borderId="3" xfId="0" applyFont="1" applyBorder="1"/>
    <xf numFmtId="0" fontId="2" fillId="0" borderId="14" xfId="0" applyFont="1" applyBorder="1"/>
    <xf numFmtId="0" fontId="3" fillId="0" borderId="29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2" fillId="0" borderId="34" xfId="0" applyFont="1" applyBorder="1"/>
    <xf numFmtId="0" fontId="2" fillId="0" borderId="16" xfId="0" applyFont="1" applyBorder="1"/>
    <xf numFmtId="0" fontId="3" fillId="0" borderId="39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2" fontId="3" fillId="0" borderId="0" xfId="0" applyNumberFormat="1" applyFont="1" applyAlignment="1">
      <alignment horizontal="left"/>
    </xf>
    <xf numFmtId="0" fontId="2" fillId="0" borderId="20" xfId="0" applyFont="1" applyBorder="1"/>
    <xf numFmtId="0" fontId="2" fillId="0" borderId="7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47" xfId="0" applyFont="1" applyBorder="1"/>
    <xf numFmtId="0" fontId="2" fillId="0" borderId="28" xfId="0" applyFont="1" applyBorder="1"/>
    <xf numFmtId="0" fontId="2" fillId="0" borderId="11" xfId="0" applyFont="1" applyBorder="1"/>
    <xf numFmtId="0" fontId="3" fillId="3" borderId="8" xfId="0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0" fontId="3" fillId="4" borderId="23" xfId="0" applyFont="1" applyFill="1" applyBorder="1" applyAlignment="1">
      <alignment horizontal="center"/>
    </xf>
    <xf numFmtId="0" fontId="3" fillId="5" borderId="21" xfId="0" applyFont="1" applyFill="1" applyBorder="1" applyAlignment="1">
      <alignment horizontal="center"/>
    </xf>
    <xf numFmtId="0" fontId="3" fillId="5" borderId="21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2" fillId="4" borderId="23" xfId="0" applyFont="1" applyFill="1" applyBorder="1"/>
    <xf numFmtId="0" fontId="4" fillId="6" borderId="24" xfId="0" applyFont="1" applyFill="1" applyBorder="1" applyAlignment="1">
      <alignment horizontal="center"/>
    </xf>
    <xf numFmtId="0" fontId="4" fillId="6" borderId="25" xfId="0" applyFont="1" applyFill="1" applyBorder="1" applyAlignment="1">
      <alignment horizontal="center"/>
    </xf>
    <xf numFmtId="0" fontId="4" fillId="7" borderId="13" xfId="0" applyFont="1" applyFill="1" applyBorder="1" applyAlignment="1">
      <alignment horizontal="center"/>
    </xf>
    <xf numFmtId="0" fontId="4" fillId="7" borderId="14" xfId="0" applyFont="1" applyFill="1" applyBorder="1" applyAlignment="1">
      <alignment horizontal="center"/>
    </xf>
    <xf numFmtId="164" fontId="4" fillId="7" borderId="13" xfId="0" applyNumberFormat="1" applyFont="1" applyFill="1" applyBorder="1" applyAlignment="1">
      <alignment horizontal="center" vertical="center"/>
    </xf>
    <xf numFmtId="164" fontId="4" fillId="7" borderId="14" xfId="0" applyNumberFormat="1" applyFont="1" applyFill="1" applyBorder="1" applyAlignment="1">
      <alignment horizontal="center" vertical="center"/>
    </xf>
    <xf numFmtId="0" fontId="4" fillId="8" borderId="24" xfId="0" applyFont="1" applyFill="1" applyBorder="1" applyAlignment="1">
      <alignment horizontal="center"/>
    </xf>
    <xf numFmtId="0" fontId="4" fillId="8" borderId="25" xfId="0" applyFont="1" applyFill="1" applyBorder="1" applyAlignment="1">
      <alignment horizontal="center"/>
    </xf>
    <xf numFmtId="0" fontId="4" fillId="9" borderId="13" xfId="0" applyFont="1" applyFill="1" applyBorder="1" applyAlignment="1">
      <alignment horizontal="center"/>
    </xf>
    <xf numFmtId="0" fontId="4" fillId="9" borderId="14" xfId="0" applyFont="1" applyFill="1" applyBorder="1" applyAlignment="1">
      <alignment horizontal="center"/>
    </xf>
    <xf numFmtId="164" fontId="4" fillId="9" borderId="13" xfId="0" applyNumberFormat="1" applyFont="1" applyFill="1" applyBorder="1" applyAlignment="1">
      <alignment horizontal="center" vertical="center"/>
    </xf>
    <xf numFmtId="164" fontId="4" fillId="9" borderId="14" xfId="0" applyNumberFormat="1" applyFont="1" applyFill="1" applyBorder="1" applyAlignment="1">
      <alignment horizontal="center" vertical="center"/>
    </xf>
    <xf numFmtId="164" fontId="4" fillId="9" borderId="26" xfId="0" applyNumberFormat="1" applyFont="1" applyFill="1" applyBorder="1" applyAlignment="1">
      <alignment horizontal="center" vertical="center"/>
    </xf>
    <xf numFmtId="164" fontId="4" fillId="10" borderId="24" xfId="0" applyNumberFormat="1" applyFont="1" applyFill="1" applyBorder="1" applyAlignment="1">
      <alignment horizontal="center" vertical="center"/>
    </xf>
    <xf numFmtId="164" fontId="4" fillId="10" borderId="5" xfId="0" applyNumberFormat="1" applyFont="1" applyFill="1" applyBorder="1" applyAlignment="1">
      <alignment horizontal="center" vertical="center"/>
    </xf>
    <xf numFmtId="164" fontId="4" fillId="10" borderId="13" xfId="0" applyNumberFormat="1" applyFont="1" applyFill="1" applyBorder="1" applyAlignment="1">
      <alignment horizontal="center" vertical="center"/>
    </xf>
    <xf numFmtId="164" fontId="4" fillId="9" borderId="24" xfId="0" applyNumberFormat="1" applyFont="1" applyFill="1" applyBorder="1" applyAlignment="1">
      <alignment horizontal="center" vertical="center"/>
    </xf>
    <xf numFmtId="164" fontId="4" fillId="9" borderId="9" xfId="0" applyNumberFormat="1" applyFont="1" applyFill="1" applyBorder="1" applyAlignment="1">
      <alignment horizontal="center" vertical="center"/>
    </xf>
    <xf numFmtId="164" fontId="4" fillId="9" borderId="5" xfId="0" applyNumberFormat="1" applyFont="1" applyFill="1" applyBorder="1" applyAlignment="1">
      <alignment horizontal="center" vertical="center"/>
    </xf>
    <xf numFmtId="164" fontId="4" fillId="9" borderId="10" xfId="0" applyNumberFormat="1" applyFont="1" applyFill="1" applyBorder="1" applyAlignment="1">
      <alignment horizontal="center" vertical="center"/>
    </xf>
    <xf numFmtId="164" fontId="4" fillId="9" borderId="12" xfId="0" applyNumberFormat="1" applyFont="1" applyFill="1" applyBorder="1" applyAlignment="1">
      <alignment horizontal="center" vertical="center"/>
    </xf>
    <xf numFmtId="164" fontId="4" fillId="9" borderId="44" xfId="0" applyNumberFormat="1" applyFont="1" applyFill="1" applyBorder="1" applyAlignment="1">
      <alignment horizontal="center" vertical="center"/>
    </xf>
    <xf numFmtId="164" fontId="4" fillId="9" borderId="15" xfId="0" applyNumberFormat="1" applyFont="1" applyFill="1" applyBorder="1" applyAlignment="1">
      <alignment horizontal="center" vertical="center"/>
    </xf>
    <xf numFmtId="164" fontId="4" fillId="9" borderId="45" xfId="0" applyNumberFormat="1" applyFont="1" applyFill="1" applyBorder="1" applyAlignment="1">
      <alignment horizontal="center" vertical="center"/>
    </xf>
    <xf numFmtId="164" fontId="4" fillId="9" borderId="16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164" fontId="4" fillId="7" borderId="15" xfId="0" applyNumberFormat="1" applyFont="1" applyFill="1" applyBorder="1" applyAlignment="1">
      <alignment horizontal="center" vertical="center"/>
    </xf>
    <xf numFmtId="164" fontId="4" fillId="7" borderId="16" xfId="0" applyNumberFormat="1" applyFont="1" applyFill="1" applyBorder="1" applyAlignment="1">
      <alignment horizontal="center" vertical="center"/>
    </xf>
    <xf numFmtId="164" fontId="4" fillId="10" borderId="15" xfId="0" applyNumberFormat="1" applyFont="1" applyFill="1" applyBorder="1" applyAlignment="1">
      <alignment horizontal="center" vertical="center"/>
    </xf>
    <xf numFmtId="164" fontId="4" fillId="10" borderId="45" xfId="0" applyNumberFormat="1" applyFont="1" applyFill="1" applyBorder="1" applyAlignment="1">
      <alignment horizontal="center" vertical="center"/>
    </xf>
    <xf numFmtId="164" fontId="4" fillId="9" borderId="8" xfId="0" applyNumberFormat="1" applyFont="1" applyFill="1" applyBorder="1" applyAlignment="1">
      <alignment horizontal="center" vertical="center"/>
    </xf>
    <xf numFmtId="164" fontId="4" fillId="9" borderId="39" xfId="0" applyNumberFormat="1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11" borderId="37" xfId="0" applyFont="1" applyFill="1" applyBorder="1" applyAlignment="1">
      <alignment horizontal="center"/>
    </xf>
    <xf numFmtId="0" fontId="3" fillId="12" borderId="38" xfId="0" applyFont="1" applyFill="1" applyBorder="1" applyAlignment="1">
      <alignment horizontal="center"/>
    </xf>
    <xf numFmtId="0" fontId="3" fillId="11" borderId="38" xfId="0" applyFont="1" applyFill="1" applyBorder="1" applyAlignment="1">
      <alignment horizontal="center"/>
    </xf>
    <xf numFmtId="0" fontId="3" fillId="13" borderId="38" xfId="0" applyFont="1" applyFill="1" applyBorder="1" applyAlignment="1">
      <alignment horizontal="center"/>
    </xf>
    <xf numFmtId="0" fontId="3" fillId="11" borderId="40" xfId="0" applyFont="1" applyFill="1" applyBorder="1" applyAlignment="1">
      <alignment horizontal="center"/>
    </xf>
    <xf numFmtId="0" fontId="2" fillId="0" borderId="0" xfId="0" quotePrefix="1" applyFont="1"/>
    <xf numFmtId="0" fontId="2" fillId="0" borderId="41" xfId="0" quotePrefix="1" applyFont="1" applyBorder="1"/>
    <xf numFmtId="0" fontId="2" fillId="0" borderId="32" xfId="0" quotePrefix="1" applyFont="1" applyBorder="1"/>
    <xf numFmtId="0" fontId="2" fillId="0" borderId="36" xfId="0" quotePrefix="1" applyFont="1" applyBorder="1"/>
    <xf numFmtId="0" fontId="2" fillId="0" borderId="35" xfId="0" quotePrefix="1" applyFont="1" applyBorder="1"/>
    <xf numFmtId="0" fontId="3" fillId="3" borderId="43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" fontId="2" fillId="0" borderId="16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" fontId="2" fillId="0" borderId="25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/>
    <xf numFmtId="0" fontId="2" fillId="0" borderId="0" xfId="0" applyFont="1" applyAlignment="1">
      <alignment wrapText="1"/>
    </xf>
    <xf numFmtId="0" fontId="2" fillId="0" borderId="31" xfId="0" quotePrefix="1" applyFont="1" applyBorder="1" applyAlignment="1">
      <alignment horizontal="right" vertical="center"/>
    </xf>
    <xf numFmtId="164" fontId="2" fillId="0" borderId="31" xfId="0" quotePrefix="1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/>
    </xf>
    <xf numFmtId="164" fontId="4" fillId="10" borderId="3" xfId="0" applyNumberFormat="1" applyFont="1" applyFill="1" applyBorder="1" applyAlignment="1">
      <alignment horizontal="center" vertical="center"/>
    </xf>
    <xf numFmtId="164" fontId="4" fillId="10" borderId="34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1" fontId="5" fillId="0" borderId="25" xfId="0" applyNumberFormat="1" applyFont="1" applyBorder="1" applyAlignment="1">
      <alignment horizontal="center" vertical="center"/>
    </xf>
    <xf numFmtId="1" fontId="5" fillId="3" borderId="46" xfId="0" quotePrefix="1" applyNumberFormat="1" applyFont="1" applyFill="1" applyBorder="1" applyAlignment="1">
      <alignment horizontal="center" vertical="center"/>
    </xf>
    <xf numFmtId="1" fontId="5" fillId="3" borderId="30" xfId="0" quotePrefix="1" applyNumberFormat="1" applyFont="1" applyFill="1" applyBorder="1" applyAlignment="1">
      <alignment horizontal="center" vertical="center"/>
    </xf>
    <xf numFmtId="1" fontId="3" fillId="3" borderId="39" xfId="0" applyNumberFormat="1" applyFont="1" applyFill="1" applyBorder="1" applyAlignment="1">
      <alignment horizontal="center" vertical="center"/>
    </xf>
    <xf numFmtId="164" fontId="4" fillId="10" borderId="4" xfId="0" applyNumberFormat="1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56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164" fontId="4" fillId="9" borderId="4" xfId="0" applyNumberFormat="1" applyFont="1" applyFill="1" applyBorder="1" applyAlignment="1">
      <alignment horizontal="center" vertical="center"/>
    </xf>
    <xf numFmtId="164" fontId="4" fillId="9" borderId="3" xfId="0" applyNumberFormat="1" applyFont="1" applyFill="1" applyBorder="1" applyAlignment="1">
      <alignment horizontal="center" vertical="center"/>
    </xf>
    <xf numFmtId="1" fontId="5" fillId="0" borderId="59" xfId="0" applyNumberFormat="1" applyFont="1" applyBorder="1" applyAlignment="1">
      <alignment horizontal="center" vertical="center"/>
    </xf>
    <xf numFmtId="1" fontId="5" fillId="3" borderId="1" xfId="0" quotePrefix="1" applyNumberFormat="1" applyFont="1" applyFill="1" applyBorder="1" applyAlignment="1">
      <alignment horizontal="center" vertical="center"/>
    </xf>
    <xf numFmtId="1" fontId="5" fillId="3" borderId="8" xfId="0" quotePrefix="1" applyNumberFormat="1" applyFont="1" applyFill="1" applyBorder="1" applyAlignment="1">
      <alignment horizontal="center" vertical="center"/>
    </xf>
    <xf numFmtId="0" fontId="2" fillId="0" borderId="32" xfId="0" applyFont="1" applyBorder="1"/>
    <xf numFmtId="2" fontId="2" fillId="11" borderId="29" xfId="0" applyNumberFormat="1" applyFont="1" applyFill="1" applyBorder="1"/>
    <xf numFmtId="2" fontId="2" fillId="11" borderId="52" xfId="0" applyNumberFormat="1" applyFont="1" applyFill="1" applyBorder="1"/>
    <xf numFmtId="0" fontId="2" fillId="3" borderId="20" xfId="0" applyFont="1" applyFill="1" applyBorder="1"/>
    <xf numFmtId="0" fontId="2" fillId="3" borderId="25" xfId="0" applyFont="1" applyFill="1" applyBorder="1"/>
    <xf numFmtId="0" fontId="2" fillId="3" borderId="60" xfId="0" applyFont="1" applyFill="1" applyBorder="1"/>
    <xf numFmtId="0" fontId="2" fillId="3" borderId="61" xfId="0" applyFont="1" applyFill="1" applyBorder="1"/>
    <xf numFmtId="0" fontId="2" fillId="4" borderId="33" xfId="0" applyFont="1" applyFill="1" applyBorder="1"/>
    <xf numFmtId="0" fontId="2" fillId="4" borderId="8" xfId="0" applyFont="1" applyFill="1" applyBorder="1"/>
    <xf numFmtId="0" fontId="2" fillId="4" borderId="8" xfId="0" applyFont="1" applyFill="1" applyBorder="1" applyAlignment="1">
      <alignment horizontal="center" vertical="center"/>
    </xf>
    <xf numFmtId="0" fontId="2" fillId="4" borderId="19" xfId="0" applyFont="1" applyFill="1" applyBorder="1"/>
    <xf numFmtId="164" fontId="4" fillId="9" borderId="62" xfId="0" applyNumberFormat="1" applyFont="1" applyFill="1" applyBorder="1" applyAlignment="1">
      <alignment horizontal="center" vertical="center"/>
    </xf>
    <xf numFmtId="164" fontId="4" fillId="9" borderId="34" xfId="0" applyNumberFormat="1" applyFont="1" applyFill="1" applyBorder="1" applyAlignment="1">
      <alignment horizontal="center" vertical="center"/>
    </xf>
    <xf numFmtId="164" fontId="4" fillId="9" borderId="58" xfId="0" applyNumberFormat="1" applyFont="1" applyFill="1" applyBorder="1" applyAlignment="1">
      <alignment horizontal="center" vertical="center"/>
    </xf>
    <xf numFmtId="0" fontId="5" fillId="15" borderId="21" xfId="0" applyFont="1" applyFill="1" applyBorder="1" applyAlignment="1">
      <alignment horizontal="center" vertical="center"/>
    </xf>
    <xf numFmtId="0" fontId="5" fillId="15" borderId="23" xfId="0" applyFont="1" applyFill="1" applyBorder="1" applyAlignment="1">
      <alignment horizontal="center" vertical="center"/>
    </xf>
    <xf numFmtId="0" fontId="5" fillId="15" borderId="12" xfId="0" applyFont="1" applyFill="1" applyBorder="1" applyAlignment="1">
      <alignment horizontal="center" vertical="center"/>
    </xf>
    <xf numFmtId="0" fontId="5" fillId="15" borderId="51" xfId="0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/>
    </xf>
    <xf numFmtId="164" fontId="4" fillId="9" borderId="5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164" fontId="4" fillId="10" borderId="26" xfId="0" applyNumberFormat="1" applyFont="1" applyFill="1" applyBorder="1" applyAlignment="1">
      <alignment horizontal="center" vertical="center"/>
    </xf>
    <xf numFmtId="164" fontId="4" fillId="10" borderId="62" xfId="0" applyNumberFormat="1" applyFont="1" applyFill="1" applyBorder="1" applyAlignment="1">
      <alignment horizontal="center" vertical="center"/>
    </xf>
    <xf numFmtId="164" fontId="4" fillId="9" borderId="70" xfId="0" applyNumberFormat="1" applyFont="1" applyFill="1" applyBorder="1" applyAlignment="1">
      <alignment horizontal="center" vertical="center"/>
    </xf>
    <xf numFmtId="164" fontId="4" fillId="10" borderId="12" xfId="0" applyNumberFormat="1" applyFont="1" applyFill="1" applyBorder="1" applyAlignment="1">
      <alignment horizontal="center" vertical="center"/>
    </xf>
    <xf numFmtId="164" fontId="4" fillId="10" borderId="57" xfId="0" applyNumberFormat="1" applyFont="1" applyFill="1" applyBorder="1" applyAlignment="1">
      <alignment horizontal="center" vertical="center"/>
    </xf>
    <xf numFmtId="164" fontId="4" fillId="9" borderId="57" xfId="0" applyNumberFormat="1" applyFont="1" applyFill="1" applyBorder="1" applyAlignment="1">
      <alignment horizontal="center" vertical="center"/>
    </xf>
    <xf numFmtId="0" fontId="3" fillId="0" borderId="71" xfId="0" applyFont="1" applyBorder="1" applyAlignment="1">
      <alignment horizontal="center"/>
    </xf>
    <xf numFmtId="164" fontId="4" fillId="7" borderId="26" xfId="0" applyNumberFormat="1" applyFont="1" applyFill="1" applyBorder="1" applyAlignment="1">
      <alignment horizontal="center" vertical="center"/>
    </xf>
    <xf numFmtId="164" fontId="4" fillId="7" borderId="69" xfId="0" applyNumberFormat="1" applyFont="1" applyFill="1" applyBorder="1" applyAlignment="1">
      <alignment horizontal="center" vertical="center"/>
    </xf>
    <xf numFmtId="164" fontId="4" fillId="9" borderId="69" xfId="0" applyNumberFormat="1" applyFont="1" applyFill="1" applyBorder="1" applyAlignment="1">
      <alignment horizontal="center" vertical="center"/>
    </xf>
    <xf numFmtId="164" fontId="4" fillId="10" borderId="10" xfId="0" applyNumberFormat="1" applyFont="1" applyFill="1" applyBorder="1" applyAlignment="1">
      <alignment horizontal="center" vertical="center"/>
    </xf>
    <xf numFmtId="0" fontId="3" fillId="0" borderId="46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164" fontId="4" fillId="7" borderId="12" xfId="0" applyNumberFormat="1" applyFont="1" applyFill="1" applyBorder="1" applyAlignment="1">
      <alignment horizontal="center" vertical="center"/>
    </xf>
    <xf numFmtId="164" fontId="4" fillId="7" borderId="51" xfId="0" applyNumberFormat="1" applyFont="1" applyFill="1" applyBorder="1" applyAlignment="1">
      <alignment horizontal="center" vertical="center"/>
    </xf>
    <xf numFmtId="164" fontId="4" fillId="10" borderId="44" xfId="0" applyNumberFormat="1" applyFont="1" applyFill="1" applyBorder="1" applyAlignment="1">
      <alignment horizontal="center" vertical="center"/>
    </xf>
    <xf numFmtId="0" fontId="3" fillId="11" borderId="50" xfId="0" applyFont="1" applyFill="1" applyBorder="1" applyAlignment="1">
      <alignment horizontal="center"/>
    </xf>
    <xf numFmtId="0" fontId="3" fillId="11" borderId="49" xfId="0" applyFont="1" applyFill="1" applyBorder="1" applyAlignment="1">
      <alignment horizontal="center"/>
    </xf>
    <xf numFmtId="0" fontId="2" fillId="15" borderId="31" xfId="0" quotePrefix="1" applyFont="1" applyFill="1" applyBorder="1" applyAlignment="1">
      <alignment horizontal="right" vertical="center"/>
    </xf>
    <xf numFmtId="0" fontId="2" fillId="15" borderId="0" xfId="0" applyFont="1" applyFill="1" applyAlignment="1">
      <alignment horizontal="right" vertical="center"/>
    </xf>
    <xf numFmtId="164" fontId="2" fillId="15" borderId="31" xfId="0" quotePrefix="1" applyNumberFormat="1" applyFont="1" applyFill="1" applyBorder="1" applyAlignment="1">
      <alignment horizontal="left"/>
    </xf>
    <xf numFmtId="164" fontId="2" fillId="15" borderId="0" xfId="0" applyNumberFormat="1" applyFont="1" applyFill="1" applyAlignment="1">
      <alignment horizontal="left"/>
    </xf>
    <xf numFmtId="164" fontId="2" fillId="15" borderId="0" xfId="0" applyNumberFormat="1" applyFont="1" applyFill="1" applyAlignment="1">
      <alignment horizontal="left" vertical="center"/>
    </xf>
    <xf numFmtId="2" fontId="2" fillId="9" borderId="29" xfId="0" applyNumberFormat="1" applyFont="1" applyFill="1" applyBorder="1" applyAlignment="1">
      <alignment horizontal="center" vertical="center"/>
    </xf>
    <xf numFmtId="2" fontId="2" fillId="9" borderId="30" xfId="0" applyNumberFormat="1" applyFont="1" applyFill="1" applyBorder="1" applyAlignment="1">
      <alignment horizontal="center" vertical="center"/>
    </xf>
    <xf numFmtId="2" fontId="2" fillId="9" borderId="39" xfId="0" applyNumberFormat="1" applyFont="1" applyFill="1" applyBorder="1" applyAlignment="1">
      <alignment horizontal="center" vertical="center"/>
    </xf>
    <xf numFmtId="164" fontId="4" fillId="7" borderId="8" xfId="0" applyNumberFormat="1" applyFont="1" applyFill="1" applyBorder="1" applyAlignment="1">
      <alignment horizontal="center" vertical="center"/>
    </xf>
    <xf numFmtId="164" fontId="4" fillId="7" borderId="39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4" fillId="10" borderId="51" xfId="0" applyNumberFormat="1" applyFont="1" applyFill="1" applyBorder="1" applyAlignment="1">
      <alignment horizontal="center" vertical="center"/>
    </xf>
    <xf numFmtId="164" fontId="4" fillId="10" borderId="25" xfId="0" applyNumberFormat="1" applyFont="1" applyFill="1" applyBorder="1" applyAlignment="1">
      <alignment horizontal="center" vertical="center"/>
    </xf>
    <xf numFmtId="164" fontId="4" fillId="10" borderId="59" xfId="0" applyNumberFormat="1" applyFont="1" applyFill="1" applyBorder="1" applyAlignment="1">
      <alignment horizontal="center" vertical="center"/>
    </xf>
    <xf numFmtId="0" fontId="2" fillId="7" borderId="46" xfId="0" applyFont="1" applyFill="1" applyBorder="1" applyAlignment="1">
      <alignment horizontal="right" vertical="center"/>
    </xf>
    <xf numFmtId="0" fontId="2" fillId="7" borderId="30" xfId="0" applyFont="1" applyFill="1" applyBorder="1" applyAlignment="1">
      <alignment horizontal="right" vertical="center"/>
    </xf>
    <xf numFmtId="0" fontId="2" fillId="7" borderId="39" xfId="0" applyFont="1" applyFill="1" applyBorder="1" applyAlignment="1">
      <alignment horizontal="right" vertical="center"/>
    </xf>
    <xf numFmtId="0" fontId="3" fillId="4" borderId="27" xfId="0" applyFont="1" applyFill="1" applyBorder="1" applyAlignment="1">
      <alignment horizontal="center" vertical="center"/>
    </xf>
    <xf numFmtId="164" fontId="2" fillId="0" borderId="31" xfId="0" quotePrefix="1" applyNumberFormat="1" applyFont="1" applyBorder="1" applyAlignment="1">
      <alignment horizontal="left"/>
    </xf>
    <xf numFmtId="164" fontId="2" fillId="0" borderId="0" xfId="0" applyNumberFormat="1" applyFont="1" applyAlignment="1">
      <alignment horizontal="left" vertical="center"/>
    </xf>
    <xf numFmtId="164" fontId="2" fillId="0" borderId="0" xfId="0" quotePrefix="1" applyNumberFormat="1" applyFont="1" applyAlignment="1">
      <alignment horizontal="left"/>
    </xf>
    <xf numFmtId="0" fontId="5" fillId="15" borderId="19" xfId="0" applyFont="1" applyFill="1" applyBorder="1" applyAlignment="1">
      <alignment horizontal="center" vertical="center"/>
    </xf>
    <xf numFmtId="0" fontId="5" fillId="15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164" fontId="2" fillId="0" borderId="46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3" fillId="4" borderId="17" xfId="0" applyFont="1" applyFill="1" applyBorder="1" applyAlignment="1">
      <alignment horizontal="center"/>
    </xf>
    <xf numFmtId="0" fontId="3" fillId="4" borderId="18" xfId="0" applyFont="1" applyFill="1" applyBorder="1" applyAlignment="1">
      <alignment horizontal="center"/>
    </xf>
    <xf numFmtId="0" fontId="3" fillId="4" borderId="19" xfId="0" applyFont="1" applyFill="1" applyBorder="1" applyAlignment="1">
      <alignment horizontal="center"/>
    </xf>
    <xf numFmtId="0" fontId="2" fillId="4" borderId="65" xfId="0" applyFont="1" applyFill="1" applyBorder="1" applyAlignment="1">
      <alignment horizontal="center"/>
    </xf>
    <xf numFmtId="0" fontId="2" fillId="4" borderId="59" xfId="0" applyFont="1" applyFill="1" applyBorder="1" applyAlignment="1">
      <alignment horizontal="center"/>
    </xf>
    <xf numFmtId="0" fontId="3" fillId="5" borderId="42" xfId="0" applyFont="1" applyFill="1" applyBorder="1" applyAlignment="1">
      <alignment horizontal="center" vertical="center"/>
    </xf>
    <xf numFmtId="0" fontId="3" fillId="5" borderId="4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164" fontId="2" fillId="0" borderId="25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164" fontId="2" fillId="0" borderId="51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3" fillId="4" borderId="52" xfId="0" applyFont="1" applyFill="1" applyBorder="1" applyAlignment="1">
      <alignment horizontal="center" vertical="center"/>
    </xf>
    <xf numFmtId="0" fontId="3" fillId="5" borderId="41" xfId="0" applyFont="1" applyFill="1" applyBorder="1" applyAlignment="1">
      <alignment horizontal="center" vertical="center" wrapText="1"/>
    </xf>
    <xf numFmtId="0" fontId="3" fillId="4" borderId="63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center" vertical="center"/>
    </xf>
    <xf numFmtId="0" fontId="3" fillId="4" borderId="65" xfId="0" applyFont="1" applyFill="1" applyBorder="1" applyAlignment="1">
      <alignment horizontal="center" vertical="center"/>
    </xf>
    <xf numFmtId="0" fontId="3" fillId="4" borderId="59" xfId="0" applyFont="1" applyFill="1" applyBorder="1" applyAlignment="1">
      <alignment horizontal="center" vertical="center"/>
    </xf>
    <xf numFmtId="0" fontId="3" fillId="5" borderId="63" xfId="0" applyFont="1" applyFill="1" applyBorder="1" applyAlignment="1">
      <alignment horizontal="center" vertical="center"/>
    </xf>
    <xf numFmtId="0" fontId="3" fillId="5" borderId="64" xfId="0" applyFont="1" applyFill="1" applyBorder="1" applyAlignment="1">
      <alignment horizontal="center" vertical="center"/>
    </xf>
    <xf numFmtId="0" fontId="3" fillId="5" borderId="66" xfId="0" applyFont="1" applyFill="1" applyBorder="1" applyAlignment="1">
      <alignment horizontal="center" vertical="center"/>
    </xf>
    <xf numFmtId="0" fontId="3" fillId="5" borderId="67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4" borderId="68" xfId="0" applyFont="1" applyFill="1" applyBorder="1" applyAlignment="1">
      <alignment horizontal="center" vertical="center"/>
    </xf>
    <xf numFmtId="0" fontId="3" fillId="4" borderId="58" xfId="0" applyFont="1" applyFill="1" applyBorder="1" applyAlignment="1">
      <alignment horizontal="center" vertical="center"/>
    </xf>
    <xf numFmtId="164" fontId="2" fillId="0" borderId="53" xfId="0" applyNumberFormat="1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5" fillId="14" borderId="21" xfId="0" applyFont="1" applyFill="1" applyBorder="1" applyAlignment="1">
      <alignment horizontal="center"/>
    </xf>
    <xf numFmtId="0" fontId="5" fillId="14" borderId="22" xfId="0" applyFont="1" applyFill="1" applyBorder="1" applyAlignment="1">
      <alignment horizontal="center"/>
    </xf>
    <xf numFmtId="0" fontId="5" fillId="14" borderId="23" xfId="0" applyFont="1" applyFill="1" applyBorder="1" applyAlignment="1">
      <alignment horizontal="center"/>
    </xf>
    <xf numFmtId="0" fontId="2" fillId="4" borderId="42" xfId="0" applyFont="1" applyFill="1" applyBorder="1" applyAlignment="1">
      <alignment horizontal="center"/>
    </xf>
    <xf numFmtId="0" fontId="2" fillId="4" borderId="31" xfId="0" applyFont="1" applyFill="1" applyBorder="1" applyAlignment="1">
      <alignment horizontal="center"/>
    </xf>
    <xf numFmtId="0" fontId="2" fillId="4" borderId="35" xfId="0" applyFont="1" applyFill="1" applyBorder="1" applyAlignment="1">
      <alignment horizontal="center"/>
    </xf>
    <xf numFmtId="0" fontId="2" fillId="4" borderId="33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41" xfId="0" applyFont="1" applyFill="1" applyBorder="1" applyAlignment="1">
      <alignment horizontal="center"/>
    </xf>
    <xf numFmtId="0" fontId="2" fillId="4" borderId="49" xfId="0" applyFont="1" applyFill="1" applyBorder="1" applyAlignment="1">
      <alignment horizontal="center" wrapText="1"/>
    </xf>
    <xf numFmtId="0" fontId="2" fillId="4" borderId="38" xfId="0" applyFont="1" applyFill="1" applyBorder="1" applyAlignment="1">
      <alignment horizontal="center" wrapText="1"/>
    </xf>
    <xf numFmtId="0" fontId="2" fillId="4" borderId="48" xfId="0" applyFont="1" applyFill="1" applyBorder="1" applyAlignment="1">
      <alignment horizontal="center" wrapText="1"/>
    </xf>
    <xf numFmtId="0" fontId="2" fillId="4" borderId="43" xfId="0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/>
    </xf>
    <xf numFmtId="0" fontId="2" fillId="4" borderId="36" xfId="0" applyFont="1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3" fillId="4" borderId="42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/>
    </xf>
    <xf numFmtId="0" fontId="3" fillId="4" borderId="43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36" xfId="0" applyFont="1" applyFill="1" applyBorder="1" applyAlignment="1">
      <alignment horizontal="center" vertical="center"/>
    </xf>
    <xf numFmtId="164" fontId="2" fillId="0" borderId="35" xfId="0" applyNumberFormat="1" applyFont="1" applyBorder="1" applyAlignment="1">
      <alignment horizontal="center" vertical="center"/>
    </xf>
    <xf numFmtId="164" fontId="2" fillId="0" borderId="41" xfId="0" applyNumberFormat="1" applyFont="1" applyBorder="1" applyAlignment="1">
      <alignment horizontal="center" vertical="center"/>
    </xf>
    <xf numFmtId="164" fontId="2" fillId="0" borderId="36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5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'Product 1'!$B$1</c:f>
              <c:strCache>
                <c:ptCount val="1"/>
                <c:pt idx="0">
                  <c:v>Demand for Product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'Product 1'!$B$3:$B$27</c:f>
              <c:numCache>
                <c:formatCode>General</c:formatCode>
                <c:ptCount val="25"/>
                <c:pt idx="0">
                  <c:v>140</c:v>
                </c:pt>
                <c:pt idx="1">
                  <c:v>155</c:v>
                </c:pt>
                <c:pt idx="2">
                  <c:v>145</c:v>
                </c:pt>
                <c:pt idx="3">
                  <c:v>152</c:v>
                </c:pt>
                <c:pt idx="4">
                  <c:v>155</c:v>
                </c:pt>
                <c:pt idx="5">
                  <c:v>145</c:v>
                </c:pt>
                <c:pt idx="6">
                  <c:v>147</c:v>
                </c:pt>
                <c:pt idx="7">
                  <c:v>135</c:v>
                </c:pt>
                <c:pt idx="8">
                  <c:v>137</c:v>
                </c:pt>
                <c:pt idx="9">
                  <c:v>140</c:v>
                </c:pt>
                <c:pt idx="10">
                  <c:v>120</c:v>
                </c:pt>
                <c:pt idx="11">
                  <c:v>150</c:v>
                </c:pt>
                <c:pt idx="12">
                  <c:v>161</c:v>
                </c:pt>
                <c:pt idx="13">
                  <c:v>143</c:v>
                </c:pt>
                <c:pt idx="14">
                  <c:v>149</c:v>
                </c:pt>
                <c:pt idx="15">
                  <c:v>140</c:v>
                </c:pt>
                <c:pt idx="16">
                  <c:v>142</c:v>
                </c:pt>
                <c:pt idx="17">
                  <c:v>157</c:v>
                </c:pt>
                <c:pt idx="18">
                  <c:v>148</c:v>
                </c:pt>
                <c:pt idx="19">
                  <c:v>144</c:v>
                </c:pt>
                <c:pt idx="20" formatCode="0">
                  <c:v>144.80136596469458</c:v>
                </c:pt>
                <c:pt idx="21" formatCode="0">
                  <c:v>144.72122936822512</c:v>
                </c:pt>
                <c:pt idx="22" formatCode="0">
                  <c:v>144.64910643140263</c:v>
                </c:pt>
                <c:pt idx="23" formatCode="0">
                  <c:v>144.58419578826238</c:v>
                </c:pt>
                <c:pt idx="24" formatCode="0">
                  <c:v>144.52577620943615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E8-474F-8FD3-ECA626D91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688032"/>
        <c:axId val="117686592"/>
      </c:lineChart>
      <c:catAx>
        <c:axId val="117688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86592"/>
        <c:crosses val="autoZero"/>
        <c:auto val="1"/>
        <c:lblAlgn val="ctr"/>
        <c:lblOffset val="100"/>
        <c:noMultiLvlLbl val="0"/>
      </c:catAx>
      <c:valAx>
        <c:axId val="11768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8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'Product 2'!$B$1</c:f>
              <c:strCache>
                <c:ptCount val="1"/>
                <c:pt idx="0">
                  <c:v>Demand for Product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'Product 2'!$B$4:$B$28</c:f>
              <c:numCache>
                <c:formatCode>General</c:formatCode>
                <c:ptCount val="25"/>
                <c:pt idx="0">
                  <c:v>145</c:v>
                </c:pt>
                <c:pt idx="1">
                  <c:v>164</c:v>
                </c:pt>
                <c:pt idx="2">
                  <c:v>178</c:v>
                </c:pt>
                <c:pt idx="3">
                  <c:v>200</c:v>
                </c:pt>
                <c:pt idx="4">
                  <c:v>215</c:v>
                </c:pt>
                <c:pt idx="5">
                  <c:v>205</c:v>
                </c:pt>
                <c:pt idx="6">
                  <c:v>170</c:v>
                </c:pt>
                <c:pt idx="7">
                  <c:v>142</c:v>
                </c:pt>
                <c:pt idx="8">
                  <c:v>119</c:v>
                </c:pt>
                <c:pt idx="9">
                  <c:v>147</c:v>
                </c:pt>
                <c:pt idx="10">
                  <c:v>162</c:v>
                </c:pt>
                <c:pt idx="11">
                  <c:v>180</c:v>
                </c:pt>
                <c:pt idx="12">
                  <c:v>199</c:v>
                </c:pt>
                <c:pt idx="13">
                  <c:v>220</c:v>
                </c:pt>
                <c:pt idx="14">
                  <c:v>208</c:v>
                </c:pt>
                <c:pt idx="15">
                  <c:v>175</c:v>
                </c:pt>
                <c:pt idx="16">
                  <c:v>140</c:v>
                </c:pt>
                <c:pt idx="17">
                  <c:v>121</c:v>
                </c:pt>
                <c:pt idx="18">
                  <c:v>146</c:v>
                </c:pt>
                <c:pt idx="19">
                  <c:v>160</c:v>
                </c:pt>
                <c:pt idx="20" formatCode="0">
                  <c:v>153.53835414770495</c:v>
                </c:pt>
                <c:pt idx="21" formatCode="0">
                  <c:v>152.21716757908197</c:v>
                </c:pt>
                <c:pt idx="22" formatCode="0">
                  <c:v>150.89598101045897</c:v>
                </c:pt>
                <c:pt idx="23" formatCode="0">
                  <c:v>149.57479444183599</c:v>
                </c:pt>
                <c:pt idx="24" formatCode="0">
                  <c:v>148.25360787321301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D4-4D0B-A7B2-97208D37D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453104"/>
        <c:axId val="486453584"/>
      </c:lineChart>
      <c:catAx>
        <c:axId val="4864531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453584"/>
        <c:crosses val="autoZero"/>
        <c:auto val="1"/>
        <c:lblAlgn val="ctr"/>
        <c:lblOffset val="100"/>
        <c:noMultiLvlLbl val="0"/>
      </c:catAx>
      <c:valAx>
        <c:axId val="48645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45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'Product 3'!$B$1</c:f>
              <c:strCache>
                <c:ptCount val="1"/>
                <c:pt idx="0">
                  <c:v>Demand for Product 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'Product 3'!$B$3:$B$27</c:f>
              <c:numCache>
                <c:formatCode>General</c:formatCode>
                <c:ptCount val="25"/>
                <c:pt idx="0">
                  <c:v>100</c:v>
                </c:pt>
                <c:pt idx="1">
                  <c:v>82</c:v>
                </c:pt>
                <c:pt idx="2">
                  <c:v>70</c:v>
                </c:pt>
                <c:pt idx="3">
                  <c:v>55</c:v>
                </c:pt>
                <c:pt idx="4">
                  <c:v>110</c:v>
                </c:pt>
                <c:pt idx="5">
                  <c:v>85</c:v>
                </c:pt>
                <c:pt idx="6">
                  <c:v>74</c:v>
                </c:pt>
                <c:pt idx="7">
                  <c:v>62</c:v>
                </c:pt>
                <c:pt idx="8">
                  <c:v>115</c:v>
                </c:pt>
                <c:pt idx="9">
                  <c:v>88</c:v>
                </c:pt>
                <c:pt idx="10">
                  <c:v>78</c:v>
                </c:pt>
                <c:pt idx="11">
                  <c:v>67</c:v>
                </c:pt>
                <c:pt idx="12">
                  <c:v>121</c:v>
                </c:pt>
                <c:pt idx="13">
                  <c:v>93</c:v>
                </c:pt>
                <c:pt idx="14">
                  <c:v>84</c:v>
                </c:pt>
                <c:pt idx="15">
                  <c:v>71</c:v>
                </c:pt>
                <c:pt idx="16">
                  <c:v>128</c:v>
                </c:pt>
                <c:pt idx="17">
                  <c:v>99</c:v>
                </c:pt>
                <c:pt idx="18">
                  <c:v>89</c:v>
                </c:pt>
                <c:pt idx="19">
                  <c:v>77</c:v>
                </c:pt>
                <c:pt idx="20" formatCode="0">
                  <c:v>129.05148741418765</c:v>
                </c:pt>
                <c:pt idx="21" formatCode="0">
                  <c:v>100.4982837528604</c:v>
                </c:pt>
                <c:pt idx="22" formatCode="0">
                  <c:v>88.807208237986274</c:v>
                </c:pt>
                <c:pt idx="23" formatCode="0">
                  <c:v>74.643020594965677</c:v>
                </c:pt>
                <c:pt idx="24" formatCode="0">
                  <c:v>129.05148741418765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6A-4F5B-94F8-6BE1D8F9FA7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47109696"/>
        <c:axId val="247110176"/>
      </c:lineChart>
      <c:catAx>
        <c:axId val="2471096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110176"/>
        <c:crosses val="autoZero"/>
        <c:auto val="1"/>
        <c:lblAlgn val="ctr"/>
        <c:lblOffset val="100"/>
        <c:noMultiLvlLbl val="0"/>
      </c:catAx>
      <c:valAx>
        <c:axId val="24711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10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'Product 4'!$B$1</c:f>
              <c:strCache>
                <c:ptCount val="1"/>
                <c:pt idx="0">
                  <c:v>Demand for Product 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'Product 4'!$B$4:$B$28</c:f>
              <c:numCache>
                <c:formatCode>General</c:formatCode>
                <c:ptCount val="25"/>
                <c:pt idx="0">
                  <c:v>18</c:v>
                </c:pt>
                <c:pt idx="1">
                  <c:v>22</c:v>
                </c:pt>
                <c:pt idx="2">
                  <c:v>25</c:v>
                </c:pt>
                <c:pt idx="3">
                  <c:v>27</c:v>
                </c:pt>
                <c:pt idx="4">
                  <c:v>32</c:v>
                </c:pt>
                <c:pt idx="5">
                  <c:v>35</c:v>
                </c:pt>
                <c:pt idx="6">
                  <c:v>39</c:v>
                </c:pt>
                <c:pt idx="7">
                  <c:v>41</c:v>
                </c:pt>
                <c:pt idx="8">
                  <c:v>43</c:v>
                </c:pt>
                <c:pt idx="9">
                  <c:v>47</c:v>
                </c:pt>
                <c:pt idx="10">
                  <c:v>53</c:v>
                </c:pt>
                <c:pt idx="11">
                  <c:v>55</c:v>
                </c:pt>
                <c:pt idx="12">
                  <c:v>58</c:v>
                </c:pt>
                <c:pt idx="13">
                  <c:v>60</c:v>
                </c:pt>
                <c:pt idx="14">
                  <c:v>64</c:v>
                </c:pt>
                <c:pt idx="15">
                  <c:v>66</c:v>
                </c:pt>
                <c:pt idx="16">
                  <c:v>69</c:v>
                </c:pt>
                <c:pt idx="17">
                  <c:v>72</c:v>
                </c:pt>
                <c:pt idx="18">
                  <c:v>75</c:v>
                </c:pt>
                <c:pt idx="19">
                  <c:v>79</c:v>
                </c:pt>
                <c:pt idx="20" formatCode="0">
                  <c:v>82.41785786114059</c:v>
                </c:pt>
                <c:pt idx="21" formatCode="0">
                  <c:v>85.183674187801103</c:v>
                </c:pt>
                <c:pt idx="22" formatCode="0">
                  <c:v>87.949490514461615</c:v>
                </c:pt>
                <c:pt idx="23" formatCode="0">
                  <c:v>90.715306841122128</c:v>
                </c:pt>
                <c:pt idx="24" formatCode="0">
                  <c:v>93.481123167782641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01-47AD-A6FC-EF0A496DE36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8956352"/>
        <c:axId val="148956832"/>
      </c:lineChart>
      <c:catAx>
        <c:axId val="148956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56832"/>
        <c:crosses val="autoZero"/>
        <c:auto val="1"/>
        <c:lblAlgn val="ctr"/>
        <c:lblOffset val="100"/>
        <c:noMultiLvlLbl val="0"/>
      </c:catAx>
      <c:valAx>
        <c:axId val="1489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5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'Product 5'!$B$1</c:f>
              <c:strCache>
                <c:ptCount val="1"/>
                <c:pt idx="0">
                  <c:v>Demand for Product 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'Product 5'!$B$3:$B$27</c:f>
              <c:numCache>
                <c:formatCode>General</c:formatCode>
                <c:ptCount val="25"/>
                <c:pt idx="0">
                  <c:v>55</c:v>
                </c:pt>
                <c:pt idx="1">
                  <c:v>46</c:v>
                </c:pt>
                <c:pt idx="2">
                  <c:v>58</c:v>
                </c:pt>
                <c:pt idx="3">
                  <c:v>37</c:v>
                </c:pt>
                <c:pt idx="4">
                  <c:v>32</c:v>
                </c:pt>
                <c:pt idx="5">
                  <c:v>48</c:v>
                </c:pt>
                <c:pt idx="6">
                  <c:v>67</c:v>
                </c:pt>
                <c:pt idx="7">
                  <c:v>68</c:v>
                </c:pt>
                <c:pt idx="8">
                  <c:v>52</c:v>
                </c:pt>
                <c:pt idx="9">
                  <c:v>42</c:v>
                </c:pt>
                <c:pt idx="10">
                  <c:v>32</c:v>
                </c:pt>
                <c:pt idx="11">
                  <c:v>43</c:v>
                </c:pt>
                <c:pt idx="12">
                  <c:v>37</c:v>
                </c:pt>
                <c:pt idx="13">
                  <c:v>61</c:v>
                </c:pt>
                <c:pt idx="14">
                  <c:v>45</c:v>
                </c:pt>
                <c:pt idx="15">
                  <c:v>48</c:v>
                </c:pt>
                <c:pt idx="16">
                  <c:v>53</c:v>
                </c:pt>
                <c:pt idx="17">
                  <c:v>38</c:v>
                </c:pt>
                <c:pt idx="18">
                  <c:v>57</c:v>
                </c:pt>
                <c:pt idx="19">
                  <c:v>40</c:v>
                </c:pt>
                <c:pt idx="20" formatCode="0">
                  <c:v>43.378497733806476</c:v>
                </c:pt>
                <c:pt idx="21" formatCode="0">
                  <c:v>43.040647960425829</c:v>
                </c:pt>
                <c:pt idx="22" formatCode="0">
                  <c:v>42.736583164383248</c:v>
                </c:pt>
                <c:pt idx="23" formatCode="0">
                  <c:v>42.462924847944926</c:v>
                </c:pt>
                <c:pt idx="24" formatCode="0">
                  <c:v>42.216632363150431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AB-48E9-AFF3-C7A3CEA4807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81028080"/>
        <c:axId val="381024240"/>
      </c:lineChart>
      <c:catAx>
        <c:axId val="381028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024240"/>
        <c:crosses val="autoZero"/>
        <c:auto val="1"/>
        <c:lblAlgn val="ctr"/>
        <c:lblOffset val="100"/>
        <c:noMultiLvlLbl val="0"/>
      </c:catAx>
      <c:valAx>
        <c:axId val="38102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02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0</xdr:rowOff>
    </xdr:from>
    <xdr:to>
      <xdr:col>20</xdr:col>
      <xdr:colOff>304800</xdr:colOff>
      <xdr:row>14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D3EA30-EC6B-2563-E5BD-BE7969B3D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862753</xdr:colOff>
      <xdr:row>25</xdr:row>
      <xdr:rowOff>1</xdr:rowOff>
    </xdr:from>
    <xdr:to>
      <xdr:col>9</xdr:col>
      <xdr:colOff>352425</xdr:colOff>
      <xdr:row>38</xdr:row>
      <xdr:rowOff>28576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404407-E905-99E9-1B06-CFEA70A3B7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579120</xdr:colOff>
      <xdr:row>9</xdr:row>
      <xdr:rowOff>171450</xdr:rowOff>
    </xdr:from>
    <xdr:to>
      <xdr:col>13</xdr:col>
      <xdr:colOff>274320</xdr:colOff>
      <xdr:row>25</xdr:row>
      <xdr:rowOff>72390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1E9791-80B5-CE90-9BC2-84909D55E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7620</xdr:colOff>
      <xdr:row>0</xdr:row>
      <xdr:rowOff>0</xdr:rowOff>
    </xdr:from>
    <xdr:to>
      <xdr:col>21</xdr:col>
      <xdr:colOff>7620</xdr:colOff>
      <xdr:row>15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5B7391-38E6-785B-6F76-50A2B359D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</xdr:colOff>
      <xdr:row>0</xdr:row>
      <xdr:rowOff>0</xdr:rowOff>
    </xdr:from>
    <xdr:to>
      <xdr:col>20</xdr:col>
      <xdr:colOff>312420</xdr:colOff>
      <xdr:row>15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976922-0CC6-936B-4A9E-63A0724EF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C0CE6-4B5E-44B6-A20F-046BE1A82E57}">
  <dimension ref="A1:U27"/>
  <sheetViews>
    <sheetView zoomScaleNormal="100" workbookViewId="0">
      <selection activeCell="Q20" sqref="Q20"/>
    </sheetView>
  </sheetViews>
  <sheetFormatPr defaultRowHeight="13.8" x14ac:dyDescent="0.25"/>
  <cols>
    <col min="1" max="1" width="6.33203125" style="1" customWidth="1"/>
    <col min="2" max="2" width="12.21875" style="1" customWidth="1"/>
    <col min="3" max="6" width="13.44140625" style="1" customWidth="1"/>
    <col min="7" max="11" width="9.33203125" style="1" customWidth="1"/>
    <col min="12" max="16384" width="8.88671875" style="1"/>
  </cols>
  <sheetData>
    <row r="1" spans="1:21" ht="15" customHeight="1" thickBot="1" x14ac:dyDescent="0.3">
      <c r="A1" s="176" t="s">
        <v>0</v>
      </c>
      <c r="B1" s="178" t="s">
        <v>1</v>
      </c>
      <c r="C1" s="180" t="s">
        <v>2</v>
      </c>
      <c r="D1" s="181"/>
      <c r="E1" s="181"/>
      <c r="F1" s="182"/>
      <c r="G1" s="187" t="s">
        <v>3</v>
      </c>
      <c r="H1" s="188"/>
      <c r="I1" s="188"/>
      <c r="J1" s="188"/>
      <c r="K1" s="188"/>
      <c r="L1" s="189"/>
      <c r="T1" s="86"/>
    </row>
    <row r="2" spans="1:21" ht="14.4" thickBot="1" x14ac:dyDescent="0.3">
      <c r="A2" s="177"/>
      <c r="B2" s="179"/>
      <c r="C2" s="24" t="s">
        <v>4</v>
      </c>
      <c r="D2" s="25" t="s">
        <v>6</v>
      </c>
      <c r="E2" s="26" t="s">
        <v>5</v>
      </c>
      <c r="F2" s="25" t="s">
        <v>6</v>
      </c>
      <c r="G2" s="27" t="s">
        <v>26</v>
      </c>
      <c r="H2" s="28" t="s">
        <v>6</v>
      </c>
      <c r="I2" s="64"/>
      <c r="J2" s="29" t="s">
        <v>7</v>
      </c>
      <c r="K2" s="30" t="s">
        <v>6</v>
      </c>
      <c r="L2" s="31"/>
      <c r="T2" s="86"/>
      <c r="U2" s="84"/>
    </row>
    <row r="3" spans="1:21" x14ac:dyDescent="0.25">
      <c r="A3" s="6">
        <v>1</v>
      </c>
      <c r="B3" s="7">
        <v>140</v>
      </c>
      <c r="C3" s="32"/>
      <c r="D3" s="33"/>
      <c r="E3" s="38"/>
      <c r="F3" s="39"/>
      <c r="G3" s="45">
        <f>B3</f>
        <v>140</v>
      </c>
      <c r="H3" s="46">
        <f t="shared" ref="H3:H4" si="0">ABS(B3-G3)</f>
        <v>0</v>
      </c>
      <c r="I3" s="183">
        <f>AVERAGE(H3:H12)</f>
        <v>2.7837890624999999</v>
      </c>
      <c r="J3" s="48">
        <f>B3</f>
        <v>140</v>
      </c>
      <c r="K3" s="49">
        <f t="shared" ref="K3:K4" si="1">ABS(J3-B3)</f>
        <v>0</v>
      </c>
      <c r="L3" s="183">
        <f>AVERAGE(K3:K12)</f>
        <v>5.7019558814999929</v>
      </c>
      <c r="U3" s="85"/>
    </row>
    <row r="4" spans="1:21" x14ac:dyDescent="0.25">
      <c r="A4" s="8">
        <v>2</v>
      </c>
      <c r="B4" s="9">
        <v>155</v>
      </c>
      <c r="C4" s="34"/>
      <c r="D4" s="35"/>
      <c r="E4" s="40"/>
      <c r="F4" s="41"/>
      <c r="G4" s="47">
        <f>(0.5*B4)+(0.5*G3)</f>
        <v>147.5</v>
      </c>
      <c r="H4" s="46">
        <f t="shared" si="0"/>
        <v>7.5</v>
      </c>
      <c r="I4" s="184"/>
      <c r="J4" s="42">
        <f t="shared" ref="J4:J21" si="2">(0.1*B4)+(0.9*J3)</f>
        <v>141.5</v>
      </c>
      <c r="K4" s="50">
        <f t="shared" si="1"/>
        <v>13.5</v>
      </c>
      <c r="L4" s="184"/>
      <c r="U4" s="85"/>
    </row>
    <row r="5" spans="1:21" x14ac:dyDescent="0.25">
      <c r="A5" s="8">
        <v>3</v>
      </c>
      <c r="B5" s="10">
        <v>145</v>
      </c>
      <c r="C5" s="36">
        <f>AVERAGE(B3:B4)</f>
        <v>147.5</v>
      </c>
      <c r="D5" s="37">
        <f>ABS(C5-B5)</f>
        <v>2.5</v>
      </c>
      <c r="E5" s="42"/>
      <c r="F5" s="43"/>
      <c r="G5" s="47">
        <f t="shared" ref="G5:G22" si="3">(0.5*B5)+(0.5*G4)</f>
        <v>146.25</v>
      </c>
      <c r="H5" s="46">
        <f>ABS(B5-G5)</f>
        <v>1.25</v>
      </c>
      <c r="I5" s="184"/>
      <c r="J5" s="42">
        <f t="shared" si="2"/>
        <v>141.85000000000002</v>
      </c>
      <c r="K5" s="50">
        <f>ABS(J5-B5)</f>
        <v>3.1499999999999773</v>
      </c>
      <c r="L5" s="184"/>
      <c r="U5" s="85"/>
    </row>
    <row r="6" spans="1:21" x14ac:dyDescent="0.25">
      <c r="A6" s="8">
        <v>4</v>
      </c>
      <c r="B6" s="10">
        <v>152</v>
      </c>
      <c r="C6" s="36">
        <f t="shared" ref="C6:C22" si="4">AVERAGE(B4:B5)</f>
        <v>150</v>
      </c>
      <c r="D6" s="37">
        <f t="shared" ref="D6:D22" si="5">ABS(C6-B6)</f>
        <v>2</v>
      </c>
      <c r="E6" s="42"/>
      <c r="F6" s="43"/>
      <c r="G6" s="47">
        <f t="shared" si="3"/>
        <v>149.125</v>
      </c>
      <c r="H6" s="46">
        <f t="shared" ref="H6:H22" si="6">ABS(B6-G6)</f>
        <v>2.875</v>
      </c>
      <c r="I6" s="184"/>
      <c r="J6" s="42">
        <f t="shared" si="2"/>
        <v>142.86500000000001</v>
      </c>
      <c r="K6" s="50">
        <f t="shared" ref="K6:K22" si="7">ABS(J6-B6)</f>
        <v>9.1349999999999909</v>
      </c>
      <c r="L6" s="184"/>
      <c r="U6" s="85"/>
    </row>
    <row r="7" spans="1:21" ht="15" customHeight="1" x14ac:dyDescent="0.25">
      <c r="A7" s="8">
        <v>5</v>
      </c>
      <c r="B7" s="10">
        <v>155</v>
      </c>
      <c r="C7" s="36">
        <f t="shared" si="4"/>
        <v>148.5</v>
      </c>
      <c r="D7" s="37">
        <f t="shared" si="5"/>
        <v>6.5</v>
      </c>
      <c r="E7" s="42"/>
      <c r="F7" s="43"/>
      <c r="G7" s="47">
        <f t="shared" si="3"/>
        <v>152.0625</v>
      </c>
      <c r="H7" s="46">
        <f t="shared" si="6"/>
        <v>2.9375</v>
      </c>
      <c r="I7" s="184"/>
      <c r="J7" s="42">
        <f t="shared" si="2"/>
        <v>144.07850000000002</v>
      </c>
      <c r="K7" s="50">
        <f t="shared" si="7"/>
        <v>10.92149999999998</v>
      </c>
      <c r="L7" s="184"/>
    </row>
    <row r="8" spans="1:21" x14ac:dyDescent="0.25">
      <c r="A8" s="8">
        <v>6</v>
      </c>
      <c r="B8" s="10">
        <v>145</v>
      </c>
      <c r="C8" s="36">
        <f t="shared" si="4"/>
        <v>153.5</v>
      </c>
      <c r="D8" s="37">
        <f t="shared" si="5"/>
        <v>8.5</v>
      </c>
      <c r="E8" s="42">
        <f>AVERAGE(B3:B7)</f>
        <v>149.4</v>
      </c>
      <c r="F8" s="43">
        <f>ABS(B8-E8)</f>
        <v>4.4000000000000057</v>
      </c>
      <c r="G8" s="47">
        <f t="shared" si="3"/>
        <v>148.53125</v>
      </c>
      <c r="H8" s="46">
        <f t="shared" si="6"/>
        <v>3.53125</v>
      </c>
      <c r="I8" s="184"/>
      <c r="J8" s="42">
        <f t="shared" si="2"/>
        <v>144.17065000000002</v>
      </c>
      <c r="K8" s="50">
        <f t="shared" si="7"/>
        <v>0.82934999999997672</v>
      </c>
      <c r="L8" s="184"/>
    </row>
    <row r="9" spans="1:21" x14ac:dyDescent="0.25">
      <c r="A9" s="8">
        <v>7</v>
      </c>
      <c r="B9" s="10">
        <v>147</v>
      </c>
      <c r="C9" s="36">
        <f t="shared" si="4"/>
        <v>150</v>
      </c>
      <c r="D9" s="37">
        <f t="shared" si="5"/>
        <v>3</v>
      </c>
      <c r="E9" s="42">
        <f t="shared" ref="E9:E22" si="8">AVERAGE(B4:B8)</f>
        <v>150.4</v>
      </c>
      <c r="F9" s="43">
        <f t="shared" ref="F9:F22" si="9">ABS(B9-E9)</f>
        <v>3.4000000000000057</v>
      </c>
      <c r="G9" s="47">
        <f t="shared" si="3"/>
        <v>147.765625</v>
      </c>
      <c r="H9" s="46">
        <f t="shared" si="6"/>
        <v>0.765625</v>
      </c>
      <c r="I9" s="184"/>
      <c r="J9" s="42">
        <f t="shared" si="2"/>
        <v>144.453585</v>
      </c>
      <c r="K9" s="50">
        <f t="shared" si="7"/>
        <v>2.5464149999999961</v>
      </c>
      <c r="L9" s="184"/>
    </row>
    <row r="10" spans="1:21" x14ac:dyDescent="0.25">
      <c r="A10" s="8">
        <v>8</v>
      </c>
      <c r="B10" s="10">
        <v>135</v>
      </c>
      <c r="C10" s="36">
        <f t="shared" si="4"/>
        <v>146</v>
      </c>
      <c r="D10" s="37">
        <f t="shared" si="5"/>
        <v>11</v>
      </c>
      <c r="E10" s="42">
        <f t="shared" si="8"/>
        <v>148.80000000000001</v>
      </c>
      <c r="F10" s="43">
        <f t="shared" si="9"/>
        <v>13.800000000000011</v>
      </c>
      <c r="G10" s="47">
        <f t="shared" si="3"/>
        <v>141.3828125</v>
      </c>
      <c r="H10" s="46">
        <f t="shared" si="6"/>
        <v>6.3828125</v>
      </c>
      <c r="I10" s="184"/>
      <c r="J10" s="42">
        <f t="shared" si="2"/>
        <v>143.50822650000001</v>
      </c>
      <c r="K10" s="50">
        <f t="shared" si="7"/>
        <v>8.5082265000000064</v>
      </c>
      <c r="L10" s="184"/>
    </row>
    <row r="11" spans="1:21" x14ac:dyDescent="0.25">
      <c r="A11" s="8">
        <v>9</v>
      </c>
      <c r="B11" s="10">
        <v>137</v>
      </c>
      <c r="C11" s="36">
        <f t="shared" si="4"/>
        <v>141</v>
      </c>
      <c r="D11" s="37">
        <f t="shared" si="5"/>
        <v>4</v>
      </c>
      <c r="E11" s="42">
        <f t="shared" si="8"/>
        <v>146.80000000000001</v>
      </c>
      <c r="F11" s="43">
        <f t="shared" si="9"/>
        <v>9.8000000000000114</v>
      </c>
      <c r="G11" s="47">
        <f t="shared" si="3"/>
        <v>139.19140625</v>
      </c>
      <c r="H11" s="46">
        <f t="shared" si="6"/>
        <v>2.19140625</v>
      </c>
      <c r="I11" s="184"/>
      <c r="J11" s="42">
        <f t="shared" si="2"/>
        <v>142.85740385</v>
      </c>
      <c r="K11" s="50">
        <f t="shared" si="7"/>
        <v>5.8574038499999972</v>
      </c>
      <c r="L11" s="184"/>
    </row>
    <row r="12" spans="1:21" ht="14.4" thickBot="1" x14ac:dyDescent="0.3">
      <c r="A12" s="140">
        <v>10</v>
      </c>
      <c r="B12" s="77">
        <v>140</v>
      </c>
      <c r="C12" s="141">
        <f t="shared" si="4"/>
        <v>136</v>
      </c>
      <c r="D12" s="142">
        <f t="shared" si="5"/>
        <v>4</v>
      </c>
      <c r="E12" s="44">
        <f t="shared" si="8"/>
        <v>143.80000000000001</v>
      </c>
      <c r="F12" s="143">
        <f t="shared" si="9"/>
        <v>3.8000000000000114</v>
      </c>
      <c r="G12" s="134">
        <f t="shared" si="3"/>
        <v>139.595703125</v>
      </c>
      <c r="H12" s="144">
        <f t="shared" si="6"/>
        <v>0.404296875</v>
      </c>
      <c r="I12" s="185"/>
      <c r="J12" s="44">
        <f t="shared" si="2"/>
        <v>142.571663465</v>
      </c>
      <c r="K12" s="51">
        <f t="shared" si="7"/>
        <v>2.5716634650000003</v>
      </c>
      <c r="L12" s="185"/>
    </row>
    <row r="13" spans="1:21" x14ac:dyDescent="0.25">
      <c r="A13" s="145">
        <v>11</v>
      </c>
      <c r="B13" s="146">
        <v>120</v>
      </c>
      <c r="C13" s="147">
        <f t="shared" si="4"/>
        <v>138.5</v>
      </c>
      <c r="D13" s="148">
        <f t="shared" si="5"/>
        <v>18.5</v>
      </c>
      <c r="E13" s="52">
        <f t="shared" si="8"/>
        <v>140.80000000000001</v>
      </c>
      <c r="F13" s="131">
        <f t="shared" si="9"/>
        <v>20.800000000000011</v>
      </c>
      <c r="G13" s="137">
        <f t="shared" si="3"/>
        <v>129.7978515625</v>
      </c>
      <c r="H13" s="149">
        <f t="shared" si="6"/>
        <v>9.7978515625</v>
      </c>
      <c r="I13" s="183">
        <f>AVERAGE(H13:H22)</f>
        <v>5.0712903976440433</v>
      </c>
      <c r="J13" s="52">
        <f t="shared" si="2"/>
        <v>140.31449711850001</v>
      </c>
      <c r="K13" s="53">
        <f t="shared" si="7"/>
        <v>20.314497118500014</v>
      </c>
      <c r="L13" s="183">
        <f>AVERAGE(K13:K22)</f>
        <v>7.3154720885906643</v>
      </c>
    </row>
    <row r="14" spans="1:21" x14ac:dyDescent="0.25">
      <c r="A14" s="8">
        <v>12</v>
      </c>
      <c r="B14" s="10">
        <v>150</v>
      </c>
      <c r="C14" s="36">
        <f t="shared" si="4"/>
        <v>130</v>
      </c>
      <c r="D14" s="37">
        <f t="shared" si="5"/>
        <v>20</v>
      </c>
      <c r="E14" s="42">
        <f t="shared" si="8"/>
        <v>135.80000000000001</v>
      </c>
      <c r="F14" s="43">
        <f t="shared" si="9"/>
        <v>14.199999999999989</v>
      </c>
      <c r="G14" s="47">
        <f t="shared" si="3"/>
        <v>139.89892578125</v>
      </c>
      <c r="H14" s="46">
        <f t="shared" si="6"/>
        <v>10.10107421875</v>
      </c>
      <c r="I14" s="184"/>
      <c r="J14" s="42">
        <f t="shared" si="2"/>
        <v>141.28304740665001</v>
      </c>
      <c r="K14" s="50">
        <f t="shared" si="7"/>
        <v>8.716952593349987</v>
      </c>
      <c r="L14" s="184"/>
    </row>
    <row r="15" spans="1:21" x14ac:dyDescent="0.25">
      <c r="A15" s="8">
        <v>13</v>
      </c>
      <c r="B15" s="10">
        <v>161</v>
      </c>
      <c r="C15" s="36">
        <f t="shared" si="4"/>
        <v>135</v>
      </c>
      <c r="D15" s="37">
        <f t="shared" si="5"/>
        <v>26</v>
      </c>
      <c r="E15" s="42">
        <f t="shared" si="8"/>
        <v>136.4</v>
      </c>
      <c r="F15" s="43">
        <f t="shared" si="9"/>
        <v>24.599999999999994</v>
      </c>
      <c r="G15" s="47">
        <f t="shared" si="3"/>
        <v>150.449462890625</v>
      </c>
      <c r="H15" s="46">
        <f t="shared" si="6"/>
        <v>10.550537109375</v>
      </c>
      <c r="I15" s="184"/>
      <c r="J15" s="42">
        <f t="shared" si="2"/>
        <v>143.25474266598502</v>
      </c>
      <c r="K15" s="50">
        <f t="shared" si="7"/>
        <v>17.74525733401498</v>
      </c>
      <c r="L15" s="184"/>
    </row>
    <row r="16" spans="1:21" ht="14.4" thickBot="1" x14ac:dyDescent="0.3">
      <c r="A16" s="8">
        <v>14</v>
      </c>
      <c r="B16" s="10">
        <v>143</v>
      </c>
      <c r="C16" s="36">
        <f t="shared" si="4"/>
        <v>155.5</v>
      </c>
      <c r="D16" s="37">
        <f t="shared" si="5"/>
        <v>12.5</v>
      </c>
      <c r="E16" s="42">
        <f t="shared" si="8"/>
        <v>141.6</v>
      </c>
      <c r="F16" s="43">
        <f t="shared" si="9"/>
        <v>1.4000000000000057</v>
      </c>
      <c r="G16" s="47">
        <f t="shared" si="3"/>
        <v>146.7247314453125</v>
      </c>
      <c r="H16" s="46">
        <f t="shared" si="6"/>
        <v>3.7247314453125</v>
      </c>
      <c r="I16" s="184"/>
      <c r="J16" s="42">
        <f t="shared" si="2"/>
        <v>143.22926839938654</v>
      </c>
      <c r="K16" s="50">
        <f>ABS(J16-B16)</f>
        <v>0.22926839938654098</v>
      </c>
      <c r="L16" s="184"/>
    </row>
    <row r="17" spans="1:16" ht="14.4" thickBot="1" x14ac:dyDescent="0.3">
      <c r="A17" s="8">
        <v>15</v>
      </c>
      <c r="B17" s="10">
        <v>149</v>
      </c>
      <c r="C17" s="36">
        <f t="shared" si="4"/>
        <v>152</v>
      </c>
      <c r="D17" s="37">
        <f t="shared" si="5"/>
        <v>3</v>
      </c>
      <c r="E17" s="42">
        <f t="shared" si="8"/>
        <v>142.80000000000001</v>
      </c>
      <c r="F17" s="43">
        <f t="shared" si="9"/>
        <v>6.1999999999999886</v>
      </c>
      <c r="G17" s="47">
        <f t="shared" si="3"/>
        <v>147.86236572265625</v>
      </c>
      <c r="H17" s="46">
        <f t="shared" si="6"/>
        <v>1.13763427734375</v>
      </c>
      <c r="I17" s="184"/>
      <c r="J17" s="42">
        <f t="shared" si="2"/>
        <v>143.8063415594479</v>
      </c>
      <c r="K17" s="50">
        <f t="shared" si="7"/>
        <v>5.1936584405520989</v>
      </c>
      <c r="L17" s="184"/>
      <c r="O17" s="126" t="s">
        <v>27</v>
      </c>
      <c r="P17" s="127" t="s">
        <v>28</v>
      </c>
    </row>
    <row r="18" spans="1:16" x14ac:dyDescent="0.25">
      <c r="A18" s="8">
        <v>16</v>
      </c>
      <c r="B18" s="10">
        <v>140</v>
      </c>
      <c r="C18" s="36">
        <f t="shared" si="4"/>
        <v>146</v>
      </c>
      <c r="D18" s="37">
        <f t="shared" si="5"/>
        <v>6</v>
      </c>
      <c r="E18" s="42">
        <f t="shared" si="8"/>
        <v>144.6</v>
      </c>
      <c r="F18" s="43">
        <f t="shared" si="9"/>
        <v>4.5999999999999943</v>
      </c>
      <c r="G18" s="47">
        <f t="shared" si="3"/>
        <v>143.93118286132813</v>
      </c>
      <c r="H18" s="46">
        <f t="shared" si="6"/>
        <v>3.931182861328125</v>
      </c>
      <c r="I18" s="184"/>
      <c r="J18" s="42">
        <f t="shared" si="2"/>
        <v>143.42570740350311</v>
      </c>
      <c r="K18" s="50">
        <f t="shared" si="7"/>
        <v>3.425707403503111</v>
      </c>
      <c r="L18" s="184"/>
      <c r="O18" s="82">
        <v>21</v>
      </c>
      <c r="P18" s="83">
        <f>J23</f>
        <v>144.80136596469458</v>
      </c>
    </row>
    <row r="19" spans="1:16" x14ac:dyDescent="0.25">
      <c r="A19" s="8">
        <v>17</v>
      </c>
      <c r="B19" s="10">
        <v>142</v>
      </c>
      <c r="C19" s="36">
        <f t="shared" si="4"/>
        <v>144.5</v>
      </c>
      <c r="D19" s="37">
        <f t="shared" si="5"/>
        <v>2.5</v>
      </c>
      <c r="E19" s="42">
        <f t="shared" si="8"/>
        <v>148.6</v>
      </c>
      <c r="F19" s="43">
        <f t="shared" si="9"/>
        <v>6.5999999999999943</v>
      </c>
      <c r="G19" s="47">
        <f t="shared" si="3"/>
        <v>142.96559143066406</v>
      </c>
      <c r="H19" s="46">
        <f t="shared" si="6"/>
        <v>0.9655914306640625</v>
      </c>
      <c r="I19" s="184"/>
      <c r="J19" s="42">
        <f t="shared" si="2"/>
        <v>143.28313666315279</v>
      </c>
      <c r="K19" s="50">
        <f t="shared" si="7"/>
        <v>1.2831366631527885</v>
      </c>
      <c r="L19" s="184"/>
      <c r="O19" s="78">
        <v>22</v>
      </c>
      <c r="P19" s="79">
        <f>J24</f>
        <v>144.72122936822512</v>
      </c>
    </row>
    <row r="20" spans="1:16" x14ac:dyDescent="0.25">
      <c r="A20" s="8">
        <v>18</v>
      </c>
      <c r="B20" s="10">
        <v>157</v>
      </c>
      <c r="C20" s="36">
        <f t="shared" si="4"/>
        <v>141</v>
      </c>
      <c r="D20" s="37">
        <f t="shared" si="5"/>
        <v>16</v>
      </c>
      <c r="E20" s="42">
        <f t="shared" si="8"/>
        <v>147</v>
      </c>
      <c r="F20" s="43">
        <f t="shared" si="9"/>
        <v>10</v>
      </c>
      <c r="G20" s="47">
        <f t="shared" si="3"/>
        <v>149.98279571533203</v>
      </c>
      <c r="H20" s="46">
        <f t="shared" si="6"/>
        <v>7.0172042846679688</v>
      </c>
      <c r="I20" s="184"/>
      <c r="J20" s="42">
        <f t="shared" si="2"/>
        <v>144.65482299683751</v>
      </c>
      <c r="K20" s="50">
        <f t="shared" si="7"/>
        <v>12.34517700316249</v>
      </c>
      <c r="L20" s="184"/>
      <c r="O20" s="78">
        <v>23</v>
      </c>
      <c r="P20" s="79">
        <f>J25</f>
        <v>144.64910643140263</v>
      </c>
    </row>
    <row r="21" spans="1:16" x14ac:dyDescent="0.25">
      <c r="A21" s="8">
        <v>19</v>
      </c>
      <c r="B21" s="10">
        <v>148</v>
      </c>
      <c r="C21" s="36">
        <f t="shared" si="4"/>
        <v>149.5</v>
      </c>
      <c r="D21" s="37">
        <f t="shared" si="5"/>
        <v>1.5</v>
      </c>
      <c r="E21" s="42">
        <f t="shared" si="8"/>
        <v>146.19999999999999</v>
      </c>
      <c r="F21" s="43">
        <f t="shared" si="9"/>
        <v>1.8000000000000114</v>
      </c>
      <c r="G21" s="47">
        <f t="shared" si="3"/>
        <v>148.99139785766602</v>
      </c>
      <c r="H21" s="46">
        <f t="shared" si="6"/>
        <v>0.99139785766601563</v>
      </c>
      <c r="I21" s="184"/>
      <c r="J21" s="42">
        <f t="shared" si="2"/>
        <v>144.98934069715378</v>
      </c>
      <c r="K21" s="50">
        <f t="shared" si="7"/>
        <v>3.0106593028462214</v>
      </c>
      <c r="L21" s="184"/>
      <c r="O21" s="78">
        <v>24</v>
      </c>
      <c r="P21" s="79">
        <f>J26</f>
        <v>144.58419578826238</v>
      </c>
    </row>
    <row r="22" spans="1:16" ht="14.4" thickBot="1" x14ac:dyDescent="0.3">
      <c r="A22" s="13">
        <v>20</v>
      </c>
      <c r="B22" s="14">
        <v>144</v>
      </c>
      <c r="C22" s="58">
        <f t="shared" si="4"/>
        <v>152.5</v>
      </c>
      <c r="D22" s="59">
        <f t="shared" si="5"/>
        <v>8.5</v>
      </c>
      <c r="E22" s="54">
        <f t="shared" si="8"/>
        <v>147.19999999999999</v>
      </c>
      <c r="F22" s="56">
        <f t="shared" si="9"/>
        <v>3.1999999999999886</v>
      </c>
      <c r="G22" s="60">
        <f t="shared" si="3"/>
        <v>146.49569892883301</v>
      </c>
      <c r="H22" s="61">
        <f t="shared" si="6"/>
        <v>2.4956989288330078</v>
      </c>
      <c r="I22" s="186"/>
      <c r="J22" s="54">
        <f>(0.1*B22)+(0.9*J21)</f>
        <v>144.89040662743841</v>
      </c>
      <c r="K22" s="55">
        <f t="shared" si="7"/>
        <v>0.89040662743840926</v>
      </c>
      <c r="L22" s="186"/>
      <c r="O22" s="80">
        <v>25</v>
      </c>
      <c r="P22" s="81">
        <f>J27</f>
        <v>144.52577620943615</v>
      </c>
    </row>
    <row r="23" spans="1:16" ht="14.4" thickBot="1" x14ac:dyDescent="0.3">
      <c r="A23" s="75">
        <v>21</v>
      </c>
      <c r="B23" s="99">
        <v>144.80136596469458</v>
      </c>
      <c r="C23" s="87" t="s">
        <v>30</v>
      </c>
      <c r="D23" s="171">
        <f>AVERAGE(D5:D22)</f>
        <v>8.6666666666666661</v>
      </c>
      <c r="E23" s="87" t="s">
        <v>30</v>
      </c>
      <c r="F23" s="171">
        <f t="shared" ref="F23" si="10">AVERAGE(F5:F22)</f>
        <v>8.5733333333333341</v>
      </c>
      <c r="G23" s="87" t="s">
        <v>30</v>
      </c>
      <c r="H23" s="171">
        <f t="shared" ref="H23" si="11">AVERAGE(H5:H22)</f>
        <v>3.9472663667466907</v>
      </c>
      <c r="I23" s="74"/>
      <c r="J23" s="62">
        <f>(0.1*B22)+(0.9*J22)</f>
        <v>144.80136596469458</v>
      </c>
      <c r="K23" s="153" t="s">
        <v>42</v>
      </c>
      <c r="L23" s="155">
        <f>AVERAGE(L3:L22)</f>
        <v>6.5087139850453291</v>
      </c>
    </row>
    <row r="24" spans="1:16" ht="14.4" thickBot="1" x14ac:dyDescent="0.3">
      <c r="A24" s="76">
        <v>22</v>
      </c>
      <c r="B24" s="100">
        <v>144.72122936822512</v>
      </c>
      <c r="C24" s="70"/>
      <c r="D24" s="70"/>
      <c r="E24" s="70"/>
      <c r="F24" s="70"/>
      <c r="G24" s="70"/>
      <c r="H24" s="70"/>
      <c r="I24" s="71"/>
      <c r="J24" s="63">
        <f>(0.1*B$22)+(0.9*J23)</f>
        <v>144.72122936822512</v>
      </c>
      <c r="K24" s="15"/>
      <c r="L24" s="15"/>
    </row>
    <row r="25" spans="1:16" ht="14.4" thickBot="1" x14ac:dyDescent="0.3">
      <c r="A25" s="76">
        <v>23</v>
      </c>
      <c r="B25" s="100">
        <v>144.64910643140263</v>
      </c>
      <c r="C25" s="70"/>
      <c r="D25" s="70"/>
      <c r="E25" s="70"/>
      <c r="F25" s="70"/>
      <c r="G25" s="70"/>
      <c r="H25" s="70"/>
      <c r="I25" s="71"/>
      <c r="J25" s="63">
        <f>(0.1*B$22)+(0.9*J24)</f>
        <v>144.64910643140263</v>
      </c>
    </row>
    <row r="26" spans="1:16" ht="14.4" thickBot="1" x14ac:dyDescent="0.3">
      <c r="A26" s="76">
        <v>24</v>
      </c>
      <c r="B26" s="100">
        <v>144.58419578826238</v>
      </c>
      <c r="C26" s="70"/>
      <c r="D26" s="70"/>
      <c r="E26" s="70"/>
      <c r="F26" s="70"/>
      <c r="G26" s="70"/>
      <c r="H26" s="70"/>
      <c r="I26" s="71"/>
      <c r="J26" s="63">
        <f>(0.1*B$22)+(0.9*J25)</f>
        <v>144.58419578826238</v>
      </c>
    </row>
    <row r="27" spans="1:16" ht="14.4" thickBot="1" x14ac:dyDescent="0.3">
      <c r="A27" s="76">
        <v>25</v>
      </c>
      <c r="B27" s="101">
        <v>144.52577620943615</v>
      </c>
      <c r="C27" s="70"/>
      <c r="D27" s="70"/>
      <c r="E27" s="70"/>
      <c r="F27" s="70"/>
      <c r="G27" s="70"/>
      <c r="H27" s="70"/>
      <c r="I27" s="71"/>
      <c r="J27" s="63">
        <f>(0.1*B$22)+(0.9*J26)</f>
        <v>144.52577620943615</v>
      </c>
    </row>
  </sheetData>
  <mergeCells count="8">
    <mergeCell ref="L13:L22"/>
    <mergeCell ref="L3:L12"/>
    <mergeCell ref="G1:L1"/>
    <mergeCell ref="A1:A2"/>
    <mergeCell ref="B1:B2"/>
    <mergeCell ref="C1:F1"/>
    <mergeCell ref="I3:I12"/>
    <mergeCell ref="I13:I22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AFF6-AB8C-4C14-891C-5B2DCE181187}">
  <dimension ref="A1:W33"/>
  <sheetViews>
    <sheetView topLeftCell="A9" zoomScaleNormal="100" workbookViewId="0">
      <selection activeCell="P28" sqref="P28"/>
    </sheetView>
  </sheetViews>
  <sheetFormatPr defaultRowHeight="13.8" x14ac:dyDescent="0.25"/>
  <cols>
    <col min="1" max="1" width="6.33203125" style="1" customWidth="1"/>
    <col min="2" max="2" width="12.21875" style="1" customWidth="1"/>
    <col min="3" max="6" width="13.44140625" style="1" customWidth="1"/>
    <col min="7" max="11" width="9.33203125" style="1" customWidth="1"/>
    <col min="12" max="16384" width="8.88671875" style="1"/>
  </cols>
  <sheetData>
    <row r="1" spans="1:23" ht="15" customHeight="1" thickBot="1" x14ac:dyDescent="0.3">
      <c r="A1" s="176" t="s">
        <v>0</v>
      </c>
      <c r="B1" s="178" t="s">
        <v>21</v>
      </c>
      <c r="C1" s="180" t="s">
        <v>2</v>
      </c>
      <c r="D1" s="181"/>
      <c r="E1" s="181"/>
      <c r="F1" s="182"/>
      <c r="G1" s="187" t="s">
        <v>40</v>
      </c>
      <c r="H1" s="188"/>
      <c r="I1" s="188"/>
      <c r="J1" s="188"/>
      <c r="K1" s="188"/>
      <c r="L1" s="189"/>
      <c r="M1" s="187" t="s">
        <v>32</v>
      </c>
      <c r="N1" s="188"/>
      <c r="O1" s="188"/>
      <c r="P1" s="188"/>
      <c r="Q1" s="188"/>
      <c r="R1" s="188"/>
      <c r="S1" s="188"/>
      <c r="T1" s="188"/>
      <c r="U1" s="188"/>
      <c r="V1" s="189"/>
      <c r="W1" s="91"/>
    </row>
    <row r="2" spans="1:23" ht="15" customHeight="1" thickBot="1" x14ac:dyDescent="0.3">
      <c r="A2" s="201"/>
      <c r="B2" s="202"/>
      <c r="C2" s="203" t="s">
        <v>31</v>
      </c>
      <c r="D2" s="205" t="s">
        <v>6</v>
      </c>
      <c r="E2" s="207" t="s">
        <v>5</v>
      </c>
      <c r="F2" s="205" t="s">
        <v>6</v>
      </c>
      <c r="G2" s="207" t="s">
        <v>26</v>
      </c>
      <c r="H2" s="209" t="s">
        <v>6</v>
      </c>
      <c r="I2" s="211"/>
      <c r="J2" s="203" t="s">
        <v>7</v>
      </c>
      <c r="K2" s="213" t="s">
        <v>6</v>
      </c>
      <c r="L2" s="190"/>
      <c r="M2" s="105" t="s">
        <v>34</v>
      </c>
      <c r="N2" s="94" t="s">
        <v>33</v>
      </c>
      <c r="O2" s="192" t="s">
        <v>37</v>
      </c>
      <c r="P2" s="194" t="s">
        <v>6</v>
      </c>
      <c r="Q2" s="194"/>
      <c r="R2" s="105" t="s">
        <v>38</v>
      </c>
      <c r="S2" s="94" t="s">
        <v>39</v>
      </c>
      <c r="T2" s="192" t="s">
        <v>37</v>
      </c>
      <c r="U2" s="194" t="s">
        <v>6</v>
      </c>
      <c r="V2" s="194"/>
      <c r="W2" s="91"/>
    </row>
    <row r="3" spans="1:23" ht="15" customHeight="1" thickBot="1" x14ac:dyDescent="0.3">
      <c r="A3" s="177"/>
      <c r="B3" s="179"/>
      <c r="C3" s="204"/>
      <c r="D3" s="206"/>
      <c r="E3" s="208"/>
      <c r="F3" s="206"/>
      <c r="G3" s="208"/>
      <c r="H3" s="210"/>
      <c r="I3" s="212"/>
      <c r="J3" s="204"/>
      <c r="K3" s="214"/>
      <c r="L3" s="191"/>
      <c r="M3" s="105" t="s">
        <v>35</v>
      </c>
      <c r="N3" s="105" t="s">
        <v>36</v>
      </c>
      <c r="O3" s="193"/>
      <c r="P3" s="195"/>
      <c r="Q3" s="195"/>
      <c r="R3" s="27" t="s">
        <v>35</v>
      </c>
      <c r="S3" s="103" t="s">
        <v>36</v>
      </c>
      <c r="T3" s="193"/>
      <c r="U3" s="195"/>
      <c r="V3" s="195"/>
    </row>
    <row r="4" spans="1:23" x14ac:dyDescent="0.25">
      <c r="A4" s="6">
        <v>1</v>
      </c>
      <c r="B4" s="65">
        <v>145</v>
      </c>
      <c r="C4" s="32"/>
      <c r="D4" s="33"/>
      <c r="E4" s="38"/>
      <c r="F4" s="39"/>
      <c r="G4" s="45"/>
      <c r="H4" s="46"/>
      <c r="I4" s="183">
        <f>AVERAGE(H4:H13)</f>
        <v>27.70166015625</v>
      </c>
      <c r="J4" s="48">
        <f>B4</f>
        <v>145</v>
      </c>
      <c r="K4" s="49">
        <f t="shared" ref="K4:K5" si="0">ABS(J4-B4)</f>
        <v>0</v>
      </c>
      <c r="L4" s="215">
        <f>AVERAGE(K4:K13)</f>
        <v>26.013959127899994</v>
      </c>
      <c r="M4" s="45">
        <f>B4</f>
        <v>145</v>
      </c>
      <c r="N4" s="102">
        <v>0</v>
      </c>
      <c r="O4" s="102">
        <f>M4+N4</f>
        <v>145</v>
      </c>
      <c r="P4" s="102">
        <f t="shared" ref="P4:P5" si="1">ABS(B4-M4)</f>
        <v>0</v>
      </c>
      <c r="Q4" s="196">
        <f>AVERAGE(P4:P13)</f>
        <v>28.100241749314648</v>
      </c>
      <c r="R4" s="48">
        <f>B4</f>
        <v>145</v>
      </c>
      <c r="S4" s="107">
        <v>0</v>
      </c>
      <c r="T4" s="107">
        <f>R4+S4</f>
        <v>145</v>
      </c>
      <c r="U4" s="107">
        <f>ABS(T4-B4)</f>
        <v>0</v>
      </c>
      <c r="V4" s="196">
        <f>AVERAGE(U4:U13)</f>
        <v>5.3660555324953432</v>
      </c>
      <c r="W4" s="89"/>
    </row>
    <row r="5" spans="1:23" x14ac:dyDescent="0.25">
      <c r="A5" s="8">
        <v>2</v>
      </c>
      <c r="B5" s="66">
        <v>164</v>
      </c>
      <c r="C5" s="34"/>
      <c r="D5" s="35"/>
      <c r="E5" s="40"/>
      <c r="F5" s="41"/>
      <c r="G5" s="47"/>
      <c r="H5" s="46"/>
      <c r="I5" s="184"/>
      <c r="J5" s="42">
        <f>(0.1*B5)+(0.9*J4)</f>
        <v>146.9</v>
      </c>
      <c r="K5" s="50">
        <f t="shared" si="0"/>
        <v>17.099999999999994</v>
      </c>
      <c r="L5" s="216"/>
      <c r="M5" s="47">
        <f>SUM(0.2*B5,0.8*(M4+N4))</f>
        <v>148.80000000000001</v>
      </c>
      <c r="N5" s="92">
        <f>SUM(0.4*(M5-M4),0.6*N4)</f>
        <v>1.5200000000000047</v>
      </c>
      <c r="O5" s="92">
        <f t="shared" ref="O5:O23" si="2">M5+N5</f>
        <v>150.32000000000002</v>
      </c>
      <c r="P5" s="92">
        <f t="shared" si="1"/>
        <v>15.199999999999989</v>
      </c>
      <c r="Q5" s="197"/>
      <c r="R5" s="42">
        <f>SUM(0.8*B5,0.2*(R4+S4))</f>
        <v>160.20000000000002</v>
      </c>
      <c r="S5" s="108">
        <f>SUM(0.2*(R5-R4),0.8*S4)</f>
        <v>3.0400000000000036</v>
      </c>
      <c r="T5" s="108">
        <f>R5+S5</f>
        <v>163.24</v>
      </c>
      <c r="U5" s="107">
        <f t="shared" ref="U5:U23" si="3">ABS(T5-B5)</f>
        <v>0.75999999999999091</v>
      </c>
      <c r="V5" s="197"/>
      <c r="W5" s="84"/>
    </row>
    <row r="6" spans="1:23" x14ac:dyDescent="0.25">
      <c r="A6" s="8">
        <v>3</v>
      </c>
      <c r="B6" s="67">
        <v>178</v>
      </c>
      <c r="C6" s="36"/>
      <c r="D6" s="37"/>
      <c r="E6" s="42"/>
      <c r="F6" s="43"/>
      <c r="G6" s="47">
        <f>(B4)+(0.5*(B5-B4))</f>
        <v>154.5</v>
      </c>
      <c r="H6" s="46">
        <f>ABS(B6-G6)</f>
        <v>23.5</v>
      </c>
      <c r="I6" s="184"/>
      <c r="J6" s="42">
        <f t="shared" ref="J6:J22" si="4">(0.1*B6)+(0.9*J5)</f>
        <v>150.01000000000002</v>
      </c>
      <c r="K6" s="50">
        <f>ABS(J6-B6)</f>
        <v>27.989999999999981</v>
      </c>
      <c r="L6" s="216"/>
      <c r="M6" s="47">
        <f t="shared" ref="M6:M23" si="5">SUM(0.2*B6,0.8*(M5+N5))</f>
        <v>155.85600000000002</v>
      </c>
      <c r="N6" s="92">
        <f t="shared" ref="N6:N23" si="6">SUM(0.4*(M6-M5),0.6*N5)</f>
        <v>3.7344000000000079</v>
      </c>
      <c r="O6" s="92">
        <f t="shared" si="2"/>
        <v>159.59040000000005</v>
      </c>
      <c r="P6" s="92">
        <f>ABS(B6-M6)</f>
        <v>22.143999999999977</v>
      </c>
      <c r="Q6" s="197"/>
      <c r="R6" s="42">
        <f t="shared" ref="R6:R23" si="7">SUM(0.8*B6,0.2*(R5+S5))</f>
        <v>175.048</v>
      </c>
      <c r="S6" s="108">
        <f t="shared" ref="S6:S23" si="8">SUM(0.2*(R6-R5),0.8*S5)</f>
        <v>5.4016000000000002</v>
      </c>
      <c r="T6" s="108">
        <f t="shared" ref="T6:T23" si="9">R6+S6</f>
        <v>180.4496</v>
      </c>
      <c r="U6" s="107">
        <f t="shared" si="3"/>
        <v>2.4496000000000038</v>
      </c>
      <c r="V6" s="197"/>
      <c r="W6" s="84"/>
    </row>
    <row r="7" spans="1:23" x14ac:dyDescent="0.25">
      <c r="A7" s="8">
        <v>4</v>
      </c>
      <c r="B7" s="67">
        <v>200</v>
      </c>
      <c r="C7" s="36">
        <f>AVERAGE(B4:B6)</f>
        <v>162.33333333333334</v>
      </c>
      <c r="D7" s="37">
        <f t="shared" ref="D7:D22" si="10">ABS(C7-B7)</f>
        <v>37.666666666666657</v>
      </c>
      <c r="E7" s="42"/>
      <c r="F7" s="43"/>
      <c r="G7" s="47">
        <f>(G6)+(0.5*(B6-G6))</f>
        <v>166.25</v>
      </c>
      <c r="H7" s="46">
        <f t="shared" ref="H7:H22" si="11">ABS(B7-G7)</f>
        <v>33.75</v>
      </c>
      <c r="I7" s="184"/>
      <c r="J7" s="42">
        <f t="shared" si="4"/>
        <v>155.00900000000001</v>
      </c>
      <c r="K7" s="50">
        <f t="shared" ref="K7:K22" si="12">ABS(J7-B7)</f>
        <v>44.990999999999985</v>
      </c>
      <c r="L7" s="216"/>
      <c r="M7" s="47">
        <f t="shared" si="5"/>
        <v>167.67232000000004</v>
      </c>
      <c r="N7" s="92">
        <f t="shared" si="6"/>
        <v>6.9671680000000134</v>
      </c>
      <c r="O7" s="92">
        <f t="shared" si="2"/>
        <v>174.63948800000006</v>
      </c>
      <c r="P7" s="92">
        <f t="shared" ref="P7:P23" si="13">ABS(B7-M7)</f>
        <v>32.327679999999958</v>
      </c>
      <c r="Q7" s="197"/>
      <c r="R7" s="42">
        <f t="shared" si="7"/>
        <v>196.08992000000001</v>
      </c>
      <c r="S7" s="108">
        <f t="shared" si="8"/>
        <v>8.5296640000000021</v>
      </c>
      <c r="T7" s="108">
        <f t="shared" si="9"/>
        <v>204.619584</v>
      </c>
      <c r="U7" s="107">
        <f t="shared" si="3"/>
        <v>4.6195840000000032</v>
      </c>
      <c r="V7" s="197"/>
      <c r="W7" s="84"/>
    </row>
    <row r="8" spans="1:23" ht="15" customHeight="1" x14ac:dyDescent="0.25">
      <c r="A8" s="8">
        <v>5</v>
      </c>
      <c r="B8" s="67">
        <v>215</v>
      </c>
      <c r="C8" s="36">
        <f t="shared" ref="C8:C23" si="14">AVERAGE(B5:B7)</f>
        <v>180.66666666666666</v>
      </c>
      <c r="D8" s="37">
        <f t="shared" si="10"/>
        <v>34.333333333333343</v>
      </c>
      <c r="E8" s="42"/>
      <c r="F8" s="43"/>
      <c r="G8" s="47">
        <f t="shared" ref="G8:G23" si="15">(G7)+(0.5*(B7-G7))</f>
        <v>183.125</v>
      </c>
      <c r="H8" s="46">
        <f t="shared" si="11"/>
        <v>31.875</v>
      </c>
      <c r="I8" s="184"/>
      <c r="J8" s="42">
        <f t="shared" si="4"/>
        <v>161.00810000000001</v>
      </c>
      <c r="K8" s="50">
        <f t="shared" si="12"/>
        <v>53.991899999999987</v>
      </c>
      <c r="L8" s="216"/>
      <c r="M8" s="47">
        <f t="shared" si="5"/>
        <v>182.71159040000006</v>
      </c>
      <c r="N8" s="92">
        <f t="shared" si="6"/>
        <v>10.196008960000016</v>
      </c>
      <c r="O8" s="92">
        <f t="shared" si="2"/>
        <v>192.90759936000009</v>
      </c>
      <c r="P8" s="92">
        <f t="shared" si="13"/>
        <v>32.288409599999937</v>
      </c>
      <c r="Q8" s="197"/>
      <c r="R8" s="42">
        <f t="shared" si="7"/>
        <v>212.9239168</v>
      </c>
      <c r="S8" s="108">
        <f t="shared" si="8"/>
        <v>10.190530560000001</v>
      </c>
      <c r="T8" s="108">
        <f t="shared" si="9"/>
        <v>223.11444736000001</v>
      </c>
      <c r="U8" s="107">
        <f t="shared" si="3"/>
        <v>8.114447360000014</v>
      </c>
      <c r="V8" s="197"/>
      <c r="W8" s="84"/>
    </row>
    <row r="9" spans="1:23" x14ac:dyDescent="0.25">
      <c r="A9" s="8">
        <v>6</v>
      </c>
      <c r="B9" s="68">
        <v>205</v>
      </c>
      <c r="C9" s="36">
        <f t="shared" si="14"/>
        <v>197.66666666666666</v>
      </c>
      <c r="D9" s="37">
        <f t="shared" si="10"/>
        <v>7.3333333333333428</v>
      </c>
      <c r="E9" s="42">
        <f>AVERAGE(B4:B8)</f>
        <v>180.4</v>
      </c>
      <c r="F9" s="43">
        <f>ABS(B9-E9)</f>
        <v>24.599999999999994</v>
      </c>
      <c r="G9" s="47">
        <f t="shared" si="15"/>
        <v>199.0625</v>
      </c>
      <c r="H9" s="46">
        <f t="shared" si="11"/>
        <v>5.9375</v>
      </c>
      <c r="I9" s="184"/>
      <c r="J9" s="42">
        <f t="shared" si="4"/>
        <v>165.40729000000002</v>
      </c>
      <c r="K9" s="50">
        <f t="shared" si="12"/>
        <v>39.592709999999983</v>
      </c>
      <c r="L9" s="216"/>
      <c r="M9" s="47">
        <f t="shared" si="5"/>
        <v>195.32607948800009</v>
      </c>
      <c r="N9" s="92">
        <f t="shared" si="6"/>
        <v>11.163401011200023</v>
      </c>
      <c r="O9" s="92">
        <f t="shared" si="2"/>
        <v>206.48948049920011</v>
      </c>
      <c r="P9" s="92">
        <f t="shared" si="13"/>
        <v>9.6739205119999099</v>
      </c>
      <c r="Q9" s="197"/>
      <c r="R9" s="42">
        <f t="shared" si="7"/>
        <v>208.622889472</v>
      </c>
      <c r="S9" s="108">
        <f t="shared" si="8"/>
        <v>7.2922189824000005</v>
      </c>
      <c r="T9" s="108">
        <f t="shared" si="9"/>
        <v>215.91510845439998</v>
      </c>
      <c r="U9" s="107">
        <f t="shared" si="3"/>
        <v>10.915108454399984</v>
      </c>
      <c r="V9" s="197"/>
      <c r="W9" s="84"/>
    </row>
    <row r="10" spans="1:23" x14ac:dyDescent="0.25">
      <c r="A10" s="8">
        <v>7</v>
      </c>
      <c r="B10" s="68">
        <v>170</v>
      </c>
      <c r="C10" s="36">
        <f t="shared" si="14"/>
        <v>206.66666666666666</v>
      </c>
      <c r="D10" s="37">
        <f t="shared" si="10"/>
        <v>36.666666666666657</v>
      </c>
      <c r="E10" s="42">
        <f t="shared" ref="E10:E23" si="16">AVERAGE(B5:B9)</f>
        <v>192.4</v>
      </c>
      <c r="F10" s="43">
        <f t="shared" ref="F10:F22" si="17">ABS(B10-E10)</f>
        <v>22.400000000000006</v>
      </c>
      <c r="G10" s="47">
        <f t="shared" si="15"/>
        <v>202.03125</v>
      </c>
      <c r="H10" s="46">
        <f t="shared" si="11"/>
        <v>32.03125</v>
      </c>
      <c r="I10" s="184"/>
      <c r="J10" s="42">
        <f t="shared" si="4"/>
        <v>165.86656100000002</v>
      </c>
      <c r="K10" s="50">
        <f t="shared" si="12"/>
        <v>4.1334389999999814</v>
      </c>
      <c r="L10" s="216"/>
      <c r="M10" s="47">
        <f t="shared" si="5"/>
        <v>199.1915843993601</v>
      </c>
      <c r="N10" s="92">
        <f t="shared" si="6"/>
        <v>8.2442425712640155</v>
      </c>
      <c r="O10" s="92">
        <f t="shared" si="2"/>
        <v>207.43582697062411</v>
      </c>
      <c r="P10" s="92">
        <f t="shared" si="13"/>
        <v>29.191584399360096</v>
      </c>
      <c r="Q10" s="197"/>
      <c r="R10" s="42">
        <f t="shared" si="7"/>
        <v>179.18302169088</v>
      </c>
      <c r="S10" s="108">
        <f t="shared" si="8"/>
        <v>-5.4198370304000321E-2</v>
      </c>
      <c r="T10" s="108">
        <f t="shared" si="9"/>
        <v>179.128823320576</v>
      </c>
      <c r="U10" s="107">
        <f t="shared" si="3"/>
        <v>9.1288233205760037</v>
      </c>
      <c r="V10" s="197"/>
      <c r="W10" s="84"/>
    </row>
    <row r="11" spans="1:23" x14ac:dyDescent="0.25">
      <c r="A11" s="8">
        <v>8</v>
      </c>
      <c r="B11" s="68">
        <v>142</v>
      </c>
      <c r="C11" s="36">
        <f t="shared" si="14"/>
        <v>196.66666666666666</v>
      </c>
      <c r="D11" s="37">
        <f t="shared" si="10"/>
        <v>54.666666666666657</v>
      </c>
      <c r="E11" s="42">
        <f t="shared" si="16"/>
        <v>193.6</v>
      </c>
      <c r="F11" s="43">
        <f t="shared" si="17"/>
        <v>51.599999999999994</v>
      </c>
      <c r="G11" s="47">
        <f t="shared" si="15"/>
        <v>186.015625</v>
      </c>
      <c r="H11" s="46">
        <f t="shared" si="11"/>
        <v>44.015625</v>
      </c>
      <c r="I11" s="184"/>
      <c r="J11" s="42">
        <f t="shared" si="4"/>
        <v>163.47990490000001</v>
      </c>
      <c r="K11" s="50">
        <f t="shared" si="12"/>
        <v>21.479904900000008</v>
      </c>
      <c r="L11" s="216"/>
      <c r="M11" s="47">
        <f t="shared" si="5"/>
        <v>194.3486615764993</v>
      </c>
      <c r="N11" s="92">
        <f t="shared" si="6"/>
        <v>3.0093764136140893</v>
      </c>
      <c r="O11" s="92">
        <f t="shared" si="2"/>
        <v>197.35803799011339</v>
      </c>
      <c r="P11" s="92">
        <f t="shared" si="13"/>
        <v>52.348661576499296</v>
      </c>
      <c r="Q11" s="197"/>
      <c r="R11" s="42">
        <f t="shared" si="7"/>
        <v>149.42576466411521</v>
      </c>
      <c r="S11" s="108">
        <f t="shared" si="8"/>
        <v>-5.9948101015961592</v>
      </c>
      <c r="T11" s="108">
        <f t="shared" si="9"/>
        <v>143.43095456251905</v>
      </c>
      <c r="U11" s="107">
        <f t="shared" si="3"/>
        <v>1.4309545625190481</v>
      </c>
      <c r="V11" s="197"/>
      <c r="W11" s="84"/>
    </row>
    <row r="12" spans="1:23" x14ac:dyDescent="0.25">
      <c r="A12" s="8">
        <v>9</v>
      </c>
      <c r="B12" s="68">
        <v>119</v>
      </c>
      <c r="C12" s="36">
        <f t="shared" si="14"/>
        <v>172.33333333333334</v>
      </c>
      <c r="D12" s="37">
        <f t="shared" si="10"/>
        <v>53.333333333333343</v>
      </c>
      <c r="E12" s="42">
        <f t="shared" si="16"/>
        <v>186.4</v>
      </c>
      <c r="F12" s="43">
        <f t="shared" si="17"/>
        <v>67.400000000000006</v>
      </c>
      <c r="G12" s="47">
        <f t="shared" si="15"/>
        <v>164.0078125</v>
      </c>
      <c r="H12" s="46">
        <f t="shared" si="11"/>
        <v>45.0078125</v>
      </c>
      <c r="I12" s="184"/>
      <c r="J12" s="42">
        <f t="shared" si="4"/>
        <v>159.03191441000001</v>
      </c>
      <c r="K12" s="50">
        <f t="shared" si="12"/>
        <v>40.031914410000013</v>
      </c>
      <c r="L12" s="216"/>
      <c r="M12" s="47">
        <f t="shared" si="5"/>
        <v>181.68643039209073</v>
      </c>
      <c r="N12" s="92">
        <f t="shared" si="6"/>
        <v>-3.2592666255949743</v>
      </c>
      <c r="O12" s="92">
        <f t="shared" si="2"/>
        <v>178.42716376649577</v>
      </c>
      <c r="P12" s="92">
        <f t="shared" si="13"/>
        <v>62.686430392090728</v>
      </c>
      <c r="Q12" s="197"/>
      <c r="R12" s="42">
        <f t="shared" si="7"/>
        <v>123.88619091250382</v>
      </c>
      <c r="S12" s="108">
        <f t="shared" si="8"/>
        <v>-9.9037628315992059</v>
      </c>
      <c r="T12" s="108">
        <f t="shared" si="9"/>
        <v>113.98242808090461</v>
      </c>
      <c r="U12" s="107">
        <f t="shared" si="3"/>
        <v>5.0175719190953885</v>
      </c>
      <c r="V12" s="197"/>
      <c r="W12" s="84"/>
    </row>
    <row r="13" spans="1:23" ht="14.4" thickBot="1" x14ac:dyDescent="0.3">
      <c r="A13" s="140">
        <v>10</v>
      </c>
      <c r="B13" s="150">
        <v>147</v>
      </c>
      <c r="C13" s="141">
        <f t="shared" si="14"/>
        <v>143.66666666666666</v>
      </c>
      <c r="D13" s="142">
        <f t="shared" si="10"/>
        <v>3.3333333333333428</v>
      </c>
      <c r="E13" s="44">
        <f t="shared" si="16"/>
        <v>170.2</v>
      </c>
      <c r="F13" s="143">
        <f t="shared" si="17"/>
        <v>23.199999999999989</v>
      </c>
      <c r="G13" s="134">
        <f t="shared" si="15"/>
        <v>141.50390625</v>
      </c>
      <c r="H13" s="144">
        <f t="shared" si="11"/>
        <v>5.49609375</v>
      </c>
      <c r="I13" s="185"/>
      <c r="J13" s="44">
        <f t="shared" si="4"/>
        <v>157.82872296900001</v>
      </c>
      <c r="K13" s="51">
        <f t="shared" si="12"/>
        <v>10.828722969000012</v>
      </c>
      <c r="L13" s="217"/>
      <c r="M13" s="134">
        <f t="shared" si="5"/>
        <v>172.14173101319662</v>
      </c>
      <c r="N13" s="135">
        <f t="shared" si="6"/>
        <v>-5.7734397269146278</v>
      </c>
      <c r="O13" s="135">
        <f t="shared" si="2"/>
        <v>166.36829128628199</v>
      </c>
      <c r="P13" s="135">
        <f t="shared" si="13"/>
        <v>25.141731013196619</v>
      </c>
      <c r="Q13" s="198"/>
      <c r="R13" s="44">
        <f t="shared" si="7"/>
        <v>140.39648561618094</v>
      </c>
      <c r="S13" s="123">
        <f t="shared" si="8"/>
        <v>-4.6209513245439418</v>
      </c>
      <c r="T13" s="123">
        <f t="shared" si="9"/>
        <v>135.775534291637</v>
      </c>
      <c r="U13" s="136">
        <f t="shared" si="3"/>
        <v>11.224465708362999</v>
      </c>
      <c r="V13" s="198"/>
      <c r="W13" s="84"/>
    </row>
    <row r="14" spans="1:23" x14ac:dyDescent="0.25">
      <c r="A14" s="145">
        <v>11</v>
      </c>
      <c r="B14" s="151">
        <v>162</v>
      </c>
      <c r="C14" s="147">
        <f t="shared" si="14"/>
        <v>136</v>
      </c>
      <c r="D14" s="148">
        <f t="shared" si="10"/>
        <v>26</v>
      </c>
      <c r="E14" s="52">
        <f t="shared" si="16"/>
        <v>156.6</v>
      </c>
      <c r="F14" s="131">
        <f t="shared" si="17"/>
        <v>5.4000000000000057</v>
      </c>
      <c r="G14" s="137">
        <f t="shared" si="15"/>
        <v>144.251953125</v>
      </c>
      <c r="H14" s="149">
        <f t="shared" si="11"/>
        <v>17.748046875</v>
      </c>
      <c r="I14" s="183">
        <f>AVERAGE(H14:H23)</f>
        <v>26.291086196899414</v>
      </c>
      <c r="J14" s="52">
        <f t="shared" si="4"/>
        <v>158.2458506721</v>
      </c>
      <c r="K14" s="53">
        <f t="shared" si="12"/>
        <v>3.7541493278999951</v>
      </c>
      <c r="L14" s="215">
        <f>AVERAGE(K14:K23)</f>
        <v>23.934073336317624</v>
      </c>
      <c r="M14" s="137">
        <f t="shared" si="5"/>
        <v>165.49463302902561</v>
      </c>
      <c r="N14" s="138">
        <f t="shared" si="6"/>
        <v>-6.1229030298171816</v>
      </c>
      <c r="O14" s="138">
        <f t="shared" si="2"/>
        <v>159.37172999920841</v>
      </c>
      <c r="P14" s="138">
        <f t="shared" si="13"/>
        <v>3.4946330290256071</v>
      </c>
      <c r="Q14" s="199">
        <f>AVERAGE(P14:P23)</f>
        <v>23.92592566024944</v>
      </c>
      <c r="R14" s="52">
        <f t="shared" si="7"/>
        <v>156.75510685832739</v>
      </c>
      <c r="S14" s="139">
        <f t="shared" si="8"/>
        <v>-0.42503681120586245</v>
      </c>
      <c r="T14" s="139">
        <f t="shared" si="9"/>
        <v>156.33007004712152</v>
      </c>
      <c r="U14" s="139">
        <f t="shared" si="3"/>
        <v>5.6699299528784763</v>
      </c>
      <c r="V14" s="199">
        <f>AVERAGE(U14:U23)</f>
        <v>6.02381268252695</v>
      </c>
      <c r="W14" s="89"/>
    </row>
    <row r="15" spans="1:23" x14ac:dyDescent="0.25">
      <c r="A15" s="8">
        <v>12</v>
      </c>
      <c r="B15" s="67">
        <v>180</v>
      </c>
      <c r="C15" s="36">
        <f t="shared" si="14"/>
        <v>142.66666666666666</v>
      </c>
      <c r="D15" s="37">
        <f t="shared" si="10"/>
        <v>37.333333333333343</v>
      </c>
      <c r="E15" s="42">
        <f t="shared" si="16"/>
        <v>148</v>
      </c>
      <c r="F15" s="43">
        <f t="shared" si="17"/>
        <v>32</v>
      </c>
      <c r="G15" s="47">
        <f t="shared" si="15"/>
        <v>153.1259765625</v>
      </c>
      <c r="H15" s="46">
        <f t="shared" si="11"/>
        <v>26.8740234375</v>
      </c>
      <c r="I15" s="184"/>
      <c r="J15" s="42">
        <f t="shared" si="4"/>
        <v>160.42126560489001</v>
      </c>
      <c r="K15" s="50">
        <f t="shared" si="12"/>
        <v>19.57873439510999</v>
      </c>
      <c r="L15" s="216"/>
      <c r="M15" s="47">
        <f t="shared" si="5"/>
        <v>163.49738399936672</v>
      </c>
      <c r="N15" s="92">
        <f t="shared" si="6"/>
        <v>-4.4726414297538648</v>
      </c>
      <c r="O15" s="92">
        <f t="shared" si="2"/>
        <v>159.02474256961284</v>
      </c>
      <c r="P15" s="92">
        <f t="shared" si="13"/>
        <v>16.502616000633282</v>
      </c>
      <c r="Q15" s="197"/>
      <c r="R15" s="42">
        <f t="shared" si="7"/>
        <v>175.26601400942431</v>
      </c>
      <c r="S15" s="108">
        <f t="shared" si="8"/>
        <v>3.3621519812546934</v>
      </c>
      <c r="T15" s="108">
        <f t="shared" si="9"/>
        <v>178.62816599067901</v>
      </c>
      <c r="U15" s="107">
        <f t="shared" si="3"/>
        <v>1.3718340093209918</v>
      </c>
      <c r="V15" s="197"/>
      <c r="W15" s="84"/>
    </row>
    <row r="16" spans="1:23" x14ac:dyDescent="0.25">
      <c r="A16" s="8">
        <v>13</v>
      </c>
      <c r="B16" s="67">
        <v>199</v>
      </c>
      <c r="C16" s="36">
        <f t="shared" si="14"/>
        <v>163</v>
      </c>
      <c r="D16" s="37">
        <f t="shared" si="10"/>
        <v>36</v>
      </c>
      <c r="E16" s="42">
        <f t="shared" si="16"/>
        <v>150</v>
      </c>
      <c r="F16" s="43">
        <f t="shared" si="17"/>
        <v>49</v>
      </c>
      <c r="G16" s="47">
        <f t="shared" si="15"/>
        <v>166.56298828125</v>
      </c>
      <c r="H16" s="46">
        <f t="shared" si="11"/>
        <v>32.43701171875</v>
      </c>
      <c r="I16" s="184"/>
      <c r="J16" s="42">
        <f t="shared" si="4"/>
        <v>164.27913904440101</v>
      </c>
      <c r="K16" s="50">
        <f t="shared" si="12"/>
        <v>34.720860955598994</v>
      </c>
      <c r="L16" s="216"/>
      <c r="M16" s="47">
        <f t="shared" si="5"/>
        <v>167.01979405569028</v>
      </c>
      <c r="N16" s="92">
        <f t="shared" si="6"/>
        <v>-1.2746208353228925</v>
      </c>
      <c r="O16" s="92">
        <f t="shared" si="2"/>
        <v>165.74517322036738</v>
      </c>
      <c r="P16" s="92">
        <f t="shared" si="13"/>
        <v>31.980205944309716</v>
      </c>
      <c r="Q16" s="197"/>
      <c r="R16" s="42">
        <f t="shared" si="7"/>
        <v>194.92563319813581</v>
      </c>
      <c r="S16" s="108">
        <f t="shared" si="8"/>
        <v>6.6216454227460559</v>
      </c>
      <c r="T16" s="108">
        <f t="shared" si="9"/>
        <v>201.54727862088185</v>
      </c>
      <c r="U16" s="107">
        <f t="shared" si="3"/>
        <v>2.5472786208818547</v>
      </c>
      <c r="V16" s="197"/>
      <c r="W16" s="84"/>
    </row>
    <row r="17" spans="1:23" x14ac:dyDescent="0.25">
      <c r="A17" s="8">
        <v>14</v>
      </c>
      <c r="B17" s="67">
        <v>220</v>
      </c>
      <c r="C17" s="36">
        <f t="shared" si="14"/>
        <v>180.33333333333334</v>
      </c>
      <c r="D17" s="37">
        <f t="shared" si="10"/>
        <v>39.666666666666657</v>
      </c>
      <c r="E17" s="42">
        <f t="shared" si="16"/>
        <v>161.4</v>
      </c>
      <c r="F17" s="43">
        <f t="shared" si="17"/>
        <v>58.599999999999994</v>
      </c>
      <c r="G17" s="47">
        <f t="shared" si="15"/>
        <v>182.781494140625</v>
      </c>
      <c r="H17" s="46">
        <f t="shared" si="11"/>
        <v>37.218505859375</v>
      </c>
      <c r="I17" s="184"/>
      <c r="J17" s="42">
        <f t="shared" si="4"/>
        <v>169.85122513996092</v>
      </c>
      <c r="K17" s="50">
        <f>ABS(J17-B17)</f>
        <v>50.148774860039083</v>
      </c>
      <c r="L17" s="216"/>
      <c r="M17" s="47">
        <f t="shared" si="5"/>
        <v>176.5961385762939</v>
      </c>
      <c r="N17" s="92">
        <f t="shared" si="6"/>
        <v>3.0657653070477093</v>
      </c>
      <c r="O17" s="92">
        <f t="shared" si="2"/>
        <v>179.66190388334161</v>
      </c>
      <c r="P17" s="92">
        <f t="shared" si="13"/>
        <v>43.403861423706104</v>
      </c>
      <c r="Q17" s="197"/>
      <c r="R17" s="42">
        <f t="shared" si="7"/>
        <v>216.30945572417636</v>
      </c>
      <c r="S17" s="108">
        <f t="shared" si="8"/>
        <v>9.5740808434049534</v>
      </c>
      <c r="T17" s="108">
        <f t="shared" si="9"/>
        <v>225.8835365675813</v>
      </c>
      <c r="U17" s="107">
        <f t="shared" si="3"/>
        <v>5.8835365675813023</v>
      </c>
      <c r="V17" s="197"/>
      <c r="W17" s="84"/>
    </row>
    <row r="18" spans="1:23" x14ac:dyDescent="0.25">
      <c r="A18" s="8">
        <v>15</v>
      </c>
      <c r="B18" s="68">
        <v>208</v>
      </c>
      <c r="C18" s="36">
        <f t="shared" si="14"/>
        <v>199.66666666666666</v>
      </c>
      <c r="D18" s="37">
        <f t="shared" si="10"/>
        <v>8.3333333333333428</v>
      </c>
      <c r="E18" s="42">
        <f t="shared" si="16"/>
        <v>181.6</v>
      </c>
      <c r="F18" s="43">
        <f t="shared" si="17"/>
        <v>26.400000000000006</v>
      </c>
      <c r="G18" s="47">
        <f t="shared" si="15"/>
        <v>201.3907470703125</v>
      </c>
      <c r="H18" s="46">
        <f t="shared" si="11"/>
        <v>6.6092529296875</v>
      </c>
      <c r="I18" s="184"/>
      <c r="J18" s="42">
        <f t="shared" si="4"/>
        <v>173.66610262596484</v>
      </c>
      <c r="K18" s="50">
        <f t="shared" si="12"/>
        <v>34.333897374035161</v>
      </c>
      <c r="L18" s="216"/>
      <c r="M18" s="47">
        <f t="shared" si="5"/>
        <v>185.32952310667329</v>
      </c>
      <c r="N18" s="92">
        <f t="shared" si="6"/>
        <v>5.3328129963803841</v>
      </c>
      <c r="O18" s="92">
        <f t="shared" si="2"/>
        <v>190.66233610305369</v>
      </c>
      <c r="P18" s="92">
        <f t="shared" si="13"/>
        <v>22.670476893326708</v>
      </c>
      <c r="Q18" s="197"/>
      <c r="R18" s="42">
        <f t="shared" si="7"/>
        <v>211.57670731351627</v>
      </c>
      <c r="S18" s="108">
        <f t="shared" si="8"/>
        <v>6.7127149925919447</v>
      </c>
      <c r="T18" s="108">
        <f t="shared" si="9"/>
        <v>218.28942230610821</v>
      </c>
      <c r="U18" s="107">
        <f t="shared" si="3"/>
        <v>10.289422306108207</v>
      </c>
      <c r="V18" s="197"/>
      <c r="W18" s="84"/>
    </row>
    <row r="19" spans="1:23" x14ac:dyDescent="0.25">
      <c r="A19" s="8">
        <v>16</v>
      </c>
      <c r="B19" s="68">
        <v>175</v>
      </c>
      <c r="C19" s="36">
        <f t="shared" si="14"/>
        <v>209</v>
      </c>
      <c r="D19" s="37">
        <f t="shared" si="10"/>
        <v>34</v>
      </c>
      <c r="E19" s="42">
        <f t="shared" si="16"/>
        <v>193.8</v>
      </c>
      <c r="F19" s="43">
        <f t="shared" si="17"/>
        <v>18.800000000000011</v>
      </c>
      <c r="G19" s="47">
        <f t="shared" si="15"/>
        <v>204.69537353515625</v>
      </c>
      <c r="H19" s="46">
        <f t="shared" si="11"/>
        <v>29.69537353515625</v>
      </c>
      <c r="I19" s="184"/>
      <c r="J19" s="42">
        <f t="shared" si="4"/>
        <v>173.79949236336836</v>
      </c>
      <c r="K19" s="50">
        <f t="shared" si="12"/>
        <v>1.2005076366316416</v>
      </c>
      <c r="L19" s="216"/>
      <c r="M19" s="47">
        <f t="shared" si="5"/>
        <v>187.52986888244297</v>
      </c>
      <c r="N19" s="92">
        <f t="shared" si="6"/>
        <v>4.0798261081361016</v>
      </c>
      <c r="O19" s="92">
        <f t="shared" si="2"/>
        <v>191.60969499057907</v>
      </c>
      <c r="P19" s="92">
        <f t="shared" si="13"/>
        <v>12.529868882442969</v>
      </c>
      <c r="Q19" s="197"/>
      <c r="R19" s="42">
        <f t="shared" si="7"/>
        <v>183.65788446122164</v>
      </c>
      <c r="S19" s="108">
        <f t="shared" si="8"/>
        <v>-0.21359257638536899</v>
      </c>
      <c r="T19" s="108">
        <f t="shared" si="9"/>
        <v>183.44429188483628</v>
      </c>
      <c r="U19" s="107">
        <f t="shared" si="3"/>
        <v>8.4442918848362751</v>
      </c>
      <c r="V19" s="197"/>
      <c r="W19" s="84"/>
    </row>
    <row r="20" spans="1:23" x14ac:dyDescent="0.25">
      <c r="A20" s="8">
        <v>17</v>
      </c>
      <c r="B20" s="68">
        <v>140</v>
      </c>
      <c r="C20" s="36">
        <f t="shared" si="14"/>
        <v>201</v>
      </c>
      <c r="D20" s="37">
        <f t="shared" si="10"/>
        <v>61</v>
      </c>
      <c r="E20" s="42">
        <f t="shared" si="16"/>
        <v>196.4</v>
      </c>
      <c r="F20" s="43">
        <f t="shared" si="17"/>
        <v>56.400000000000006</v>
      </c>
      <c r="G20" s="47">
        <f t="shared" si="15"/>
        <v>189.84768676757813</v>
      </c>
      <c r="H20" s="46">
        <f t="shared" si="11"/>
        <v>49.847686767578125</v>
      </c>
      <c r="I20" s="184"/>
      <c r="J20" s="42">
        <f t="shared" si="4"/>
        <v>170.41954312703152</v>
      </c>
      <c r="K20" s="50">
        <f t="shared" si="12"/>
        <v>30.419543127031517</v>
      </c>
      <c r="L20" s="216"/>
      <c r="M20" s="47">
        <f t="shared" si="5"/>
        <v>181.28775599246327</v>
      </c>
      <c r="N20" s="92">
        <f t="shared" si="6"/>
        <v>-4.8949491110216847E-2</v>
      </c>
      <c r="O20" s="92">
        <f t="shared" si="2"/>
        <v>181.23880650135305</v>
      </c>
      <c r="P20" s="92">
        <f t="shared" si="13"/>
        <v>41.287755992463275</v>
      </c>
      <c r="Q20" s="197"/>
      <c r="R20" s="42">
        <f t="shared" si="7"/>
        <v>148.68885837696726</v>
      </c>
      <c r="S20" s="108">
        <f t="shared" si="8"/>
        <v>-7.1646792779591717</v>
      </c>
      <c r="T20" s="108">
        <f t="shared" si="9"/>
        <v>141.52417909900808</v>
      </c>
      <c r="U20" s="107">
        <f t="shared" si="3"/>
        <v>1.5241790990080801</v>
      </c>
      <c r="V20" s="197"/>
      <c r="W20" s="84"/>
    </row>
    <row r="21" spans="1:23" x14ac:dyDescent="0.25">
      <c r="A21" s="8">
        <v>18</v>
      </c>
      <c r="B21" s="68">
        <v>121</v>
      </c>
      <c r="C21" s="36">
        <f t="shared" si="14"/>
        <v>174.33333333333334</v>
      </c>
      <c r="D21" s="37">
        <f t="shared" si="10"/>
        <v>53.333333333333343</v>
      </c>
      <c r="E21" s="42">
        <f t="shared" si="16"/>
        <v>188.4</v>
      </c>
      <c r="F21" s="43">
        <f t="shared" si="17"/>
        <v>67.400000000000006</v>
      </c>
      <c r="G21" s="47">
        <f t="shared" si="15"/>
        <v>164.92384338378906</v>
      </c>
      <c r="H21" s="46">
        <f t="shared" si="11"/>
        <v>43.923843383789063</v>
      </c>
      <c r="I21" s="184"/>
      <c r="J21" s="42">
        <f t="shared" si="4"/>
        <v>165.47758881432836</v>
      </c>
      <c r="K21" s="50">
        <f t="shared" si="12"/>
        <v>44.477588814328357</v>
      </c>
      <c r="L21" s="216"/>
      <c r="M21" s="47">
        <f t="shared" si="5"/>
        <v>169.19104520108243</v>
      </c>
      <c r="N21" s="92">
        <f t="shared" si="6"/>
        <v>-4.8680540112184678</v>
      </c>
      <c r="O21" s="92">
        <f t="shared" si="2"/>
        <v>164.32299118986396</v>
      </c>
      <c r="P21" s="92">
        <f t="shared" si="13"/>
        <v>48.191045201082432</v>
      </c>
      <c r="Q21" s="197"/>
      <c r="R21" s="42">
        <f t="shared" si="7"/>
        <v>125.10483581980162</v>
      </c>
      <c r="S21" s="108">
        <f t="shared" si="8"/>
        <v>-10.448547933800466</v>
      </c>
      <c r="T21" s="108">
        <f t="shared" si="9"/>
        <v>114.65628788600115</v>
      </c>
      <c r="U21" s="107">
        <f t="shared" si="3"/>
        <v>6.3437121139988477</v>
      </c>
      <c r="V21" s="197"/>
      <c r="W21" s="84"/>
    </row>
    <row r="22" spans="1:23" x14ac:dyDescent="0.25">
      <c r="A22" s="8">
        <v>19</v>
      </c>
      <c r="B22" s="67">
        <v>146</v>
      </c>
      <c r="C22" s="36">
        <f t="shared" si="14"/>
        <v>145.33333333333334</v>
      </c>
      <c r="D22" s="37">
        <f t="shared" si="10"/>
        <v>0.66666666666665719</v>
      </c>
      <c r="E22" s="42">
        <f t="shared" si="16"/>
        <v>172.8</v>
      </c>
      <c r="F22" s="43">
        <f t="shared" si="17"/>
        <v>26.800000000000011</v>
      </c>
      <c r="G22" s="47">
        <f t="shared" si="15"/>
        <v>142.96192169189453</v>
      </c>
      <c r="H22" s="46">
        <f t="shared" si="11"/>
        <v>3.0380783081054688</v>
      </c>
      <c r="I22" s="184"/>
      <c r="J22" s="42">
        <f t="shared" si="4"/>
        <v>163.52982993289552</v>
      </c>
      <c r="K22" s="50">
        <f t="shared" si="12"/>
        <v>17.529829932895524</v>
      </c>
      <c r="L22" s="216"/>
      <c r="M22" s="47">
        <f t="shared" si="5"/>
        <v>160.65839295189119</v>
      </c>
      <c r="N22" s="92">
        <f t="shared" si="6"/>
        <v>-6.3338933064075782</v>
      </c>
      <c r="O22" s="92">
        <f t="shared" si="2"/>
        <v>154.3244996454836</v>
      </c>
      <c r="P22" s="92">
        <f t="shared" si="13"/>
        <v>14.658392951891187</v>
      </c>
      <c r="Q22" s="197"/>
      <c r="R22" s="42">
        <f t="shared" si="7"/>
        <v>139.73125757720024</v>
      </c>
      <c r="S22" s="108">
        <f t="shared" si="8"/>
        <v>-5.4335539955606507</v>
      </c>
      <c r="T22" s="108">
        <f t="shared" si="9"/>
        <v>134.29770358163958</v>
      </c>
      <c r="U22" s="107">
        <f t="shared" si="3"/>
        <v>11.702296418360419</v>
      </c>
      <c r="V22" s="197"/>
      <c r="W22" s="84"/>
    </row>
    <row r="23" spans="1:23" ht="14.4" thickBot="1" x14ac:dyDescent="0.3">
      <c r="A23" s="13">
        <v>20</v>
      </c>
      <c r="B23" s="69">
        <v>160</v>
      </c>
      <c r="C23" s="58">
        <f t="shared" si="14"/>
        <v>135.66666666666666</v>
      </c>
      <c r="D23" s="59">
        <f>ABS(C23-B23)</f>
        <v>24.333333333333343</v>
      </c>
      <c r="E23" s="54">
        <f t="shared" si="16"/>
        <v>158</v>
      </c>
      <c r="F23" s="56">
        <f>ABS(B23-E23)</f>
        <v>2</v>
      </c>
      <c r="G23" s="60">
        <f t="shared" si="15"/>
        <v>144.48096084594727</v>
      </c>
      <c r="H23" s="61">
        <f>ABS(B23-G23)</f>
        <v>15.519039154052734</v>
      </c>
      <c r="I23" s="186"/>
      <c r="J23" s="54">
        <f>(0.1*B23)+(0.9*J22)</f>
        <v>163.17684693960598</v>
      </c>
      <c r="K23" s="55">
        <f>ABS(J23-B23)</f>
        <v>3.17684693960598</v>
      </c>
      <c r="L23" s="217"/>
      <c r="M23" s="60">
        <f t="shared" si="5"/>
        <v>155.45959971638689</v>
      </c>
      <c r="N23" s="93">
        <f t="shared" si="6"/>
        <v>-5.8798532780462658</v>
      </c>
      <c r="O23" s="93">
        <f t="shared" si="2"/>
        <v>149.57974643834063</v>
      </c>
      <c r="P23" s="93">
        <f t="shared" si="13"/>
        <v>4.5404002836131099</v>
      </c>
      <c r="Q23" s="200"/>
      <c r="R23" s="54">
        <f t="shared" si="7"/>
        <v>154.85954071632793</v>
      </c>
      <c r="S23" s="124">
        <f t="shared" si="8"/>
        <v>-1.3211865686229824</v>
      </c>
      <c r="T23" s="124">
        <f t="shared" si="9"/>
        <v>153.53835414770495</v>
      </c>
      <c r="U23" s="125">
        <f t="shared" si="3"/>
        <v>6.4616458522950495</v>
      </c>
      <c r="V23" s="200"/>
      <c r="W23" s="84"/>
    </row>
    <row r="24" spans="1:23" ht="15" customHeight="1" thickBot="1" x14ac:dyDescent="0.3">
      <c r="A24" s="57">
        <v>21</v>
      </c>
      <c r="B24" s="110">
        <f>T24</f>
        <v>153.53835414770495</v>
      </c>
      <c r="C24" s="87" t="s">
        <v>30</v>
      </c>
      <c r="D24" s="171">
        <f>AVERAGE(D6:D23)</f>
        <v>32.235294117647065</v>
      </c>
      <c r="E24" s="87" t="s">
        <v>30</v>
      </c>
      <c r="F24" s="171">
        <f t="shared" ref="F24" si="18">AVERAGE(F6:F23)</f>
        <v>35.466666666666669</v>
      </c>
      <c r="G24" s="87" t="s">
        <v>30</v>
      </c>
      <c r="H24" s="171">
        <f t="shared" ref="H24" si="19">AVERAGE(H6:H23)</f>
        <v>26.918007956610786</v>
      </c>
      <c r="I24" s="70"/>
      <c r="J24" s="90" t="s">
        <v>30</v>
      </c>
      <c r="K24" s="172">
        <f>AVERAGE(L4:L23)</f>
        <v>24.974016232108809</v>
      </c>
      <c r="O24" s="90" t="s">
        <v>30</v>
      </c>
      <c r="P24" s="172">
        <f>AVERAGE(Q4:Q23)</f>
        <v>26.013083704782044</v>
      </c>
      <c r="T24" s="157">
        <f>$R$23+1*$S$23</f>
        <v>153.53835414770495</v>
      </c>
      <c r="U24" s="153" t="s">
        <v>42</v>
      </c>
      <c r="V24" s="156">
        <f>AVERAGE(V4:V23)</f>
        <v>5.6949341075111466</v>
      </c>
    </row>
    <row r="25" spans="1:23" ht="15" customHeight="1" thickBot="1" x14ac:dyDescent="0.3">
      <c r="A25" s="23">
        <v>22</v>
      </c>
      <c r="B25" s="110">
        <f t="shared" ref="B25:B28" si="20">T25</f>
        <v>152.21716757908197</v>
      </c>
      <c r="C25" s="70"/>
      <c r="D25" s="70"/>
      <c r="E25" s="70"/>
      <c r="F25" s="70"/>
      <c r="G25" s="70"/>
      <c r="H25" s="70"/>
      <c r="I25" s="70"/>
      <c r="J25" s="70"/>
      <c r="K25" s="15"/>
      <c r="L25" s="15"/>
      <c r="M25" s="15"/>
      <c r="N25" s="15"/>
      <c r="O25" s="15"/>
      <c r="P25" s="15"/>
      <c r="Q25" s="15"/>
      <c r="R25" s="15"/>
      <c r="S25" s="15"/>
      <c r="T25" s="158">
        <f>$R$23+2*$S$23</f>
        <v>152.21716757908197</v>
      </c>
      <c r="U25" s="15"/>
      <c r="V25" s="15"/>
      <c r="W25" s="15"/>
    </row>
    <row r="26" spans="1:23" ht="15" customHeight="1" thickBot="1" x14ac:dyDescent="0.3">
      <c r="A26" s="23">
        <v>23</v>
      </c>
      <c r="B26" s="110">
        <f t="shared" si="20"/>
        <v>150.89598101045897</v>
      </c>
      <c r="C26" s="70"/>
      <c r="D26" s="70"/>
      <c r="E26" s="70"/>
      <c r="F26" s="70"/>
      <c r="G26" s="70"/>
      <c r="H26" s="70"/>
      <c r="I26" s="70"/>
      <c r="J26" s="70"/>
      <c r="T26" s="158">
        <f>$R$23+3*$S$23</f>
        <v>150.89598101045897</v>
      </c>
    </row>
    <row r="27" spans="1:23" ht="15" customHeight="1" thickBot="1" x14ac:dyDescent="0.3">
      <c r="A27" s="23">
        <v>24</v>
      </c>
      <c r="B27" s="110">
        <f t="shared" si="20"/>
        <v>149.57479444183599</v>
      </c>
      <c r="C27" s="70"/>
      <c r="D27" s="70"/>
      <c r="E27" s="70"/>
      <c r="F27" s="70"/>
      <c r="G27" s="70"/>
      <c r="H27" s="70"/>
      <c r="I27" s="70"/>
      <c r="J27" s="70"/>
      <c r="T27" s="158">
        <f>$R$23+4*$S$23</f>
        <v>149.57479444183599</v>
      </c>
    </row>
    <row r="28" spans="1:23" ht="15" customHeight="1" thickBot="1" x14ac:dyDescent="0.3">
      <c r="A28" s="23">
        <v>25</v>
      </c>
      <c r="B28" s="111">
        <f t="shared" si="20"/>
        <v>148.25360787321301</v>
      </c>
      <c r="C28" s="70"/>
      <c r="D28" s="70"/>
      <c r="E28" s="70"/>
      <c r="F28" s="70"/>
      <c r="G28" s="70"/>
      <c r="H28" s="70"/>
      <c r="I28" s="70"/>
      <c r="J28" s="70"/>
      <c r="L28" s="126" t="s">
        <v>27</v>
      </c>
      <c r="M28" s="127" t="s">
        <v>28</v>
      </c>
      <c r="T28" s="159">
        <f>$R$23+5*$S$23</f>
        <v>148.25360787321301</v>
      </c>
    </row>
    <row r="29" spans="1:23" x14ac:dyDescent="0.25">
      <c r="L29" s="97">
        <v>21</v>
      </c>
      <c r="M29" s="98">
        <f>B24</f>
        <v>153.53835414770495</v>
      </c>
    </row>
    <row r="30" spans="1:23" x14ac:dyDescent="0.25">
      <c r="L30" s="95">
        <v>22</v>
      </c>
      <c r="M30" s="98">
        <f>B25</f>
        <v>152.21716757908197</v>
      </c>
    </row>
    <row r="31" spans="1:23" x14ac:dyDescent="0.25">
      <c r="L31" s="95">
        <v>23</v>
      </c>
      <c r="M31" s="98">
        <f>B26</f>
        <v>150.89598101045897</v>
      </c>
    </row>
    <row r="32" spans="1:23" x14ac:dyDescent="0.25">
      <c r="L32" s="95">
        <v>24</v>
      </c>
      <c r="M32" s="98">
        <f>B27</f>
        <v>149.57479444183599</v>
      </c>
    </row>
    <row r="33" spans="12:13" ht="14.4" thickBot="1" x14ac:dyDescent="0.3">
      <c r="L33" s="96">
        <v>25</v>
      </c>
      <c r="M33" s="109">
        <f>B28</f>
        <v>148.25360787321301</v>
      </c>
    </row>
  </sheetData>
  <mergeCells count="29">
    <mergeCell ref="I4:I13"/>
    <mergeCell ref="I14:I23"/>
    <mergeCell ref="L4:L13"/>
    <mergeCell ref="L14:L23"/>
    <mergeCell ref="Q4:Q13"/>
    <mergeCell ref="Q14:Q23"/>
    <mergeCell ref="A1:A3"/>
    <mergeCell ref="B1:B3"/>
    <mergeCell ref="C1:F1"/>
    <mergeCell ref="G1:L1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V4:V13"/>
    <mergeCell ref="V14:V23"/>
    <mergeCell ref="M1:V1"/>
    <mergeCell ref="U2:U3"/>
    <mergeCell ref="V2:V3"/>
    <mergeCell ref="L2:L3"/>
    <mergeCell ref="O2:O3"/>
    <mergeCell ref="P2:P3"/>
    <mergeCell ref="Q2:Q3"/>
    <mergeCell ref="T2:T3"/>
  </mergeCells>
  <phoneticPr fontId="1" type="noConversion"/>
  <pageMargins left="0.7" right="0.7" top="0.75" bottom="0.75" header="0.3" footer="0.3"/>
  <ignoredErrors>
    <ignoredError sqref="G7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FAA01-34D3-4E57-9F04-791274A5FE3B}">
  <dimension ref="A1:P27"/>
  <sheetViews>
    <sheetView workbookViewId="0">
      <selection activeCell="D24" sqref="D24"/>
    </sheetView>
  </sheetViews>
  <sheetFormatPr defaultRowHeight="13.8" x14ac:dyDescent="0.25"/>
  <cols>
    <col min="1" max="1" width="6.33203125" style="1" customWidth="1"/>
    <col min="2" max="2" width="12.21875" style="1" customWidth="1"/>
    <col min="3" max="5" width="9.33203125" style="1" customWidth="1"/>
    <col min="6" max="16384" width="8.88671875" style="1"/>
  </cols>
  <sheetData>
    <row r="1" spans="1:16" ht="15" customHeight="1" thickBot="1" x14ac:dyDescent="0.3">
      <c r="A1" s="176" t="s">
        <v>0</v>
      </c>
      <c r="B1" s="178" t="s">
        <v>22</v>
      </c>
      <c r="C1" s="187" t="s">
        <v>41</v>
      </c>
      <c r="D1" s="188"/>
      <c r="E1" s="189"/>
      <c r="G1" s="218" t="s">
        <v>8</v>
      </c>
      <c r="H1" s="219"/>
      <c r="I1" s="219"/>
      <c r="J1" s="219"/>
      <c r="K1" s="219"/>
      <c r="L1" s="219"/>
      <c r="M1" s="219"/>
      <c r="N1" s="219"/>
      <c r="O1" s="219"/>
      <c r="P1" s="220"/>
    </row>
    <row r="2" spans="1:16" ht="14.4" thickBot="1" x14ac:dyDescent="0.3">
      <c r="A2" s="177"/>
      <c r="B2" s="179"/>
      <c r="C2" s="27" t="s">
        <v>26</v>
      </c>
      <c r="D2" s="28" t="s">
        <v>6</v>
      </c>
      <c r="E2" s="106"/>
      <c r="G2" s="221"/>
      <c r="H2" s="222"/>
      <c r="I2" s="222"/>
      <c r="J2" s="222"/>
      <c r="K2" s="222"/>
      <c r="L2" s="223"/>
      <c r="M2" s="227" t="s">
        <v>18</v>
      </c>
      <c r="N2" s="221"/>
      <c r="O2" s="222"/>
      <c r="P2" s="223"/>
    </row>
    <row r="3" spans="1:16" ht="14.4" thickBot="1" x14ac:dyDescent="0.3">
      <c r="A3" s="6">
        <v>1</v>
      </c>
      <c r="B3" s="65">
        <v>100</v>
      </c>
      <c r="C3" s="45">
        <f>AVERAGE(B3:B6)*N5</f>
        <v>100.8112128146453</v>
      </c>
      <c r="D3" s="46">
        <f t="shared" ref="D3:D22" si="0">ABS(B3-C3)</f>
        <v>0.81121281464530171</v>
      </c>
      <c r="E3" s="183">
        <f>AVERAGE(D3:D12)</f>
        <v>1.3284897025171616</v>
      </c>
      <c r="G3" s="224"/>
      <c r="H3" s="225"/>
      <c r="I3" s="225"/>
      <c r="J3" s="225"/>
      <c r="K3" s="225"/>
      <c r="L3" s="226"/>
      <c r="M3" s="228"/>
      <c r="N3" s="230"/>
      <c r="O3" s="231"/>
      <c r="P3" s="232"/>
    </row>
    <row r="4" spans="1:16" ht="14.4" thickBot="1" x14ac:dyDescent="0.3">
      <c r="A4" s="8">
        <v>2</v>
      </c>
      <c r="B4" s="66">
        <v>82</v>
      </c>
      <c r="C4" s="45">
        <f>AVERAGE(B3:B6)*N6</f>
        <v>78.506292906178487</v>
      </c>
      <c r="D4" s="46">
        <f t="shared" si="0"/>
        <v>3.4937070938215129</v>
      </c>
      <c r="E4" s="184"/>
      <c r="G4" s="119"/>
      <c r="H4" s="120" t="s">
        <v>9</v>
      </c>
      <c r="I4" s="120" t="s">
        <v>10</v>
      </c>
      <c r="J4" s="120" t="s">
        <v>11</v>
      </c>
      <c r="K4" s="120" t="s">
        <v>12</v>
      </c>
      <c r="L4" s="120" t="s">
        <v>13</v>
      </c>
      <c r="M4" s="229"/>
      <c r="N4" s="121" t="s">
        <v>25</v>
      </c>
      <c r="O4" s="122" t="s">
        <v>19</v>
      </c>
      <c r="P4" s="120" t="s">
        <v>20</v>
      </c>
    </row>
    <row r="5" spans="1:16" ht="14.4" thickBot="1" x14ac:dyDescent="0.3">
      <c r="A5" s="8">
        <v>3</v>
      </c>
      <c r="B5" s="67">
        <v>70</v>
      </c>
      <c r="C5" s="45">
        <f>AVERAGE(B3:B6)*N7</f>
        <v>69.37356979405034</v>
      </c>
      <c r="D5" s="46">
        <f t="shared" si="0"/>
        <v>0.62643020594966004</v>
      </c>
      <c r="E5" s="184"/>
      <c r="G5" s="120" t="s">
        <v>14</v>
      </c>
      <c r="H5" s="16">
        <f>B3</f>
        <v>100</v>
      </c>
      <c r="I5" s="2">
        <f>B7</f>
        <v>110</v>
      </c>
      <c r="J5" s="2">
        <f>B11</f>
        <v>115</v>
      </c>
      <c r="K5" s="2">
        <f>B15</f>
        <v>121</v>
      </c>
      <c r="L5" s="3" cm="1">
        <f t="array" ref="L5:L8">B19:B22</f>
        <v>128</v>
      </c>
      <c r="M5" s="21">
        <f>AVERAGE(H5:L5)</f>
        <v>114.8</v>
      </c>
      <c r="N5" s="113">
        <f>M5/$M$9</f>
        <v>1.3135011441647597</v>
      </c>
      <c r="O5" s="115">
        <f>$L$9*N5</f>
        <v>129.05148741418765</v>
      </c>
      <c r="P5" s="116">
        <f>$L$9*N5</f>
        <v>129.05148741418765</v>
      </c>
    </row>
    <row r="6" spans="1:16" ht="14.4" thickBot="1" x14ac:dyDescent="0.3">
      <c r="A6" s="8">
        <v>4</v>
      </c>
      <c r="B6" s="67">
        <v>55</v>
      </c>
      <c r="C6" s="45">
        <f>AVERAGE(B3:B6)*N8</f>
        <v>58.308924485125857</v>
      </c>
      <c r="D6" s="46">
        <f t="shared" si="0"/>
        <v>3.308924485125857</v>
      </c>
      <c r="E6" s="184"/>
      <c r="G6" s="120" t="s">
        <v>15</v>
      </c>
      <c r="H6" s="17">
        <f>B4</f>
        <v>82</v>
      </c>
      <c r="I6" s="4">
        <f>B8</f>
        <v>85</v>
      </c>
      <c r="J6" s="4">
        <f>B12</f>
        <v>88</v>
      </c>
      <c r="K6" s="4">
        <f>B16</f>
        <v>93</v>
      </c>
      <c r="L6" s="5">
        <v>99</v>
      </c>
      <c r="M6" s="18">
        <f t="shared" ref="M6:M8" si="1">AVERAGE(H6:L6)</f>
        <v>89.4</v>
      </c>
      <c r="N6" s="113">
        <f>M6/$M$9</f>
        <v>1.0228832951945079</v>
      </c>
      <c r="O6" s="115">
        <f>$L$9*N6</f>
        <v>100.4982837528604</v>
      </c>
      <c r="P6" s="116">
        <f>$L$9*N6</f>
        <v>100.4982837528604</v>
      </c>
    </row>
    <row r="7" spans="1:16" ht="15" customHeight="1" thickBot="1" x14ac:dyDescent="0.3">
      <c r="A7" s="8">
        <v>5</v>
      </c>
      <c r="B7" s="68">
        <v>110</v>
      </c>
      <c r="C7" s="47">
        <f>AVERAGE(B7:B10)*N5</f>
        <v>108.69221967963387</v>
      </c>
      <c r="D7" s="46">
        <f t="shared" si="0"/>
        <v>1.3077803203661347</v>
      </c>
      <c r="E7" s="184"/>
      <c r="G7" s="120" t="s">
        <v>16</v>
      </c>
      <c r="H7" s="17">
        <f>B5</f>
        <v>70</v>
      </c>
      <c r="I7" s="4">
        <f>B9</f>
        <v>74</v>
      </c>
      <c r="J7" s="4">
        <f>B13</f>
        <v>78</v>
      </c>
      <c r="K7" s="4">
        <f>B17</f>
        <v>84</v>
      </c>
      <c r="L7" s="5">
        <v>89</v>
      </c>
      <c r="M7" s="18">
        <f t="shared" si="1"/>
        <v>79</v>
      </c>
      <c r="N7" s="113">
        <f>M7/$M$9</f>
        <v>0.90389016018306634</v>
      </c>
      <c r="O7" s="115">
        <f>$L$9*N7</f>
        <v>88.807208237986274</v>
      </c>
      <c r="P7" s="116">
        <f>$L$9*N7</f>
        <v>88.807208237986274</v>
      </c>
    </row>
    <row r="8" spans="1:16" ht="14.4" thickBot="1" x14ac:dyDescent="0.3">
      <c r="A8" s="8">
        <v>6</v>
      </c>
      <c r="B8" s="68">
        <v>85</v>
      </c>
      <c r="C8" s="47">
        <f>AVERAGE(B7:B10)*N6</f>
        <v>84.643592677345538</v>
      </c>
      <c r="D8" s="46">
        <f t="shared" si="0"/>
        <v>0.35640732265446218</v>
      </c>
      <c r="E8" s="184"/>
      <c r="G8" s="120" t="s">
        <v>17</v>
      </c>
      <c r="H8" s="20">
        <f>B6</f>
        <v>55</v>
      </c>
      <c r="I8" s="11">
        <f>B10</f>
        <v>62</v>
      </c>
      <c r="J8" s="11">
        <f>B14</f>
        <v>67</v>
      </c>
      <c r="K8" s="11">
        <f>B18</f>
        <v>71</v>
      </c>
      <c r="L8" s="12">
        <v>77</v>
      </c>
      <c r="M8" s="22">
        <f t="shared" si="1"/>
        <v>66.400000000000006</v>
      </c>
      <c r="N8" s="114">
        <f>M8/$M$9</f>
        <v>0.7597254004576659</v>
      </c>
      <c r="O8" s="117">
        <f>$L$9*N8</f>
        <v>74.643020594965677</v>
      </c>
      <c r="P8" s="118">
        <f>$L$9*N8</f>
        <v>74.643020594965677</v>
      </c>
    </row>
    <row r="9" spans="1:16" ht="14.4" thickBot="1" x14ac:dyDescent="0.3">
      <c r="A9" s="8">
        <v>7</v>
      </c>
      <c r="B9" s="68">
        <v>74</v>
      </c>
      <c r="C9" s="47">
        <f>AVERAGE(B7:B10)*N7</f>
        <v>74.796910755148744</v>
      </c>
      <c r="D9" s="46">
        <f t="shared" si="0"/>
        <v>0.79691075514874399</v>
      </c>
      <c r="E9" s="184"/>
      <c r="G9" s="19"/>
      <c r="H9" s="112">
        <f>AVERAGE(H5:H8)</f>
        <v>76.75</v>
      </c>
      <c r="I9" s="112">
        <f t="shared" ref="I9:L9" si="2">AVERAGE(I5:I8)</f>
        <v>82.75</v>
      </c>
      <c r="J9" s="112">
        <f t="shared" si="2"/>
        <v>87</v>
      </c>
      <c r="K9" s="112">
        <f t="shared" si="2"/>
        <v>92.25</v>
      </c>
      <c r="L9" s="112">
        <f t="shared" si="2"/>
        <v>98.25</v>
      </c>
      <c r="M9" s="19">
        <f>AVERAGE(M5:M8)</f>
        <v>87.4</v>
      </c>
      <c r="N9" s="233"/>
      <c r="O9" s="234"/>
      <c r="P9" s="235"/>
    </row>
    <row r="10" spans="1:16" x14ac:dyDescent="0.25">
      <c r="A10" s="8">
        <v>8</v>
      </c>
      <c r="B10" s="68">
        <v>62</v>
      </c>
      <c r="C10" s="47">
        <f>AVERAGE(B7:B10)*N8</f>
        <v>62.867276887871853</v>
      </c>
      <c r="D10" s="46">
        <f t="shared" si="0"/>
        <v>0.86727688787185286</v>
      </c>
      <c r="E10" s="184"/>
      <c r="I10" s="1" t="s">
        <v>29</v>
      </c>
    </row>
    <row r="11" spans="1:16" x14ac:dyDescent="0.25">
      <c r="A11" s="8">
        <v>9</v>
      </c>
      <c r="B11" s="67">
        <v>115</v>
      </c>
      <c r="C11" s="47">
        <f>AVERAGE(B11:B14)*N5</f>
        <v>114.2745995423341</v>
      </c>
      <c r="D11" s="46">
        <f t="shared" si="0"/>
        <v>0.72540045766589856</v>
      </c>
      <c r="E11" s="184"/>
    </row>
    <row r="12" spans="1:16" ht="14.4" thickBot="1" x14ac:dyDescent="0.3">
      <c r="A12" s="140">
        <v>10</v>
      </c>
      <c r="B12" s="150">
        <v>88</v>
      </c>
      <c r="C12" s="134">
        <f>AVERAGE(B11:B14)*N6</f>
        <v>88.990846681922193</v>
      </c>
      <c r="D12" s="144">
        <f t="shared" si="0"/>
        <v>0.99084668192219283</v>
      </c>
      <c r="E12" s="185"/>
    </row>
    <row r="13" spans="1:16" x14ac:dyDescent="0.25">
      <c r="A13" s="145">
        <v>11</v>
      </c>
      <c r="B13" s="151">
        <v>78</v>
      </c>
      <c r="C13" s="137">
        <f>AVERAGE(B11:B14)*N7</f>
        <v>78.638443935926773</v>
      </c>
      <c r="D13" s="149">
        <f t="shared" si="0"/>
        <v>0.63844393592677307</v>
      </c>
      <c r="E13" s="183">
        <f>AVERAGE(D13:D22)</f>
        <v>0.97048054919908255</v>
      </c>
      <c r="O13" s="128" t="s">
        <v>27</v>
      </c>
      <c r="P13" s="129" t="s">
        <v>28</v>
      </c>
    </row>
    <row r="14" spans="1:16" x14ac:dyDescent="0.25">
      <c r="A14" s="8">
        <v>12</v>
      </c>
      <c r="B14" s="67">
        <v>67</v>
      </c>
      <c r="C14" s="47">
        <f>AVERAGE(B11:B14)*N8</f>
        <v>66.096109839816933</v>
      </c>
      <c r="D14" s="46">
        <f t="shared" si="0"/>
        <v>0.90389016018306734</v>
      </c>
      <c r="E14" s="184"/>
      <c r="O14" s="78">
        <v>21</v>
      </c>
      <c r="P14" s="79">
        <f>B23</f>
        <v>129.05148741418765</v>
      </c>
    </row>
    <row r="15" spans="1:16" x14ac:dyDescent="0.25">
      <c r="A15" s="8">
        <v>13</v>
      </c>
      <c r="B15" s="68">
        <v>121</v>
      </c>
      <c r="C15" s="47">
        <f>AVERAGE(B15:B18)*N5</f>
        <v>121.17048054919908</v>
      </c>
      <c r="D15" s="46">
        <f t="shared" si="0"/>
        <v>0.17048054919908395</v>
      </c>
      <c r="E15" s="184"/>
      <c r="O15" s="78">
        <v>22</v>
      </c>
      <c r="P15" s="79">
        <f>B24</f>
        <v>100.4982837528604</v>
      </c>
    </row>
    <row r="16" spans="1:16" x14ac:dyDescent="0.25">
      <c r="A16" s="8">
        <v>14</v>
      </c>
      <c r="B16" s="68">
        <v>93</v>
      </c>
      <c r="C16" s="47">
        <f>AVERAGE(B15:B18)*N6</f>
        <v>94.360983981693352</v>
      </c>
      <c r="D16" s="46">
        <f t="shared" si="0"/>
        <v>1.3609839816933516</v>
      </c>
      <c r="E16" s="184"/>
      <c r="O16" s="78">
        <v>23</v>
      </c>
      <c r="P16" s="79">
        <f>B25</f>
        <v>88.807208237986274</v>
      </c>
    </row>
    <row r="17" spans="1:16" x14ac:dyDescent="0.25">
      <c r="A17" s="8">
        <v>15</v>
      </c>
      <c r="B17" s="68">
        <v>84</v>
      </c>
      <c r="C17" s="47">
        <f>AVERAGE(B15:B18)*N7</f>
        <v>83.383867276887869</v>
      </c>
      <c r="D17" s="46">
        <f t="shared" si="0"/>
        <v>0.61613272311213052</v>
      </c>
      <c r="E17" s="184"/>
      <c r="O17" s="78">
        <v>24</v>
      </c>
      <c r="P17" s="79">
        <f>B26</f>
        <v>74.643020594965677</v>
      </c>
    </row>
    <row r="18" spans="1:16" ht="14.4" thickBot="1" x14ac:dyDescent="0.3">
      <c r="A18" s="8">
        <v>16</v>
      </c>
      <c r="B18" s="68">
        <v>71</v>
      </c>
      <c r="C18" s="47">
        <f>AVERAGE(B15:B18)*N8</f>
        <v>70.084668192219681</v>
      </c>
      <c r="D18" s="46">
        <f t="shared" si="0"/>
        <v>0.9153318077803192</v>
      </c>
      <c r="E18" s="184"/>
      <c r="O18" s="80">
        <v>25</v>
      </c>
      <c r="P18" s="81">
        <f>B27</f>
        <v>129.05148741418765</v>
      </c>
    </row>
    <row r="19" spans="1:16" x14ac:dyDescent="0.25">
      <c r="A19" s="8">
        <v>17</v>
      </c>
      <c r="B19" s="67">
        <v>128</v>
      </c>
      <c r="C19" s="47">
        <f>AVERAGE(B19:B22)*N5</f>
        <v>129.05148741418765</v>
      </c>
      <c r="D19" s="46">
        <f t="shared" si="0"/>
        <v>1.0514874141876476</v>
      </c>
      <c r="E19" s="184"/>
    </row>
    <row r="20" spans="1:16" x14ac:dyDescent="0.25">
      <c r="A20" s="8">
        <v>18</v>
      </c>
      <c r="B20" s="67">
        <v>99</v>
      </c>
      <c r="C20" s="47">
        <f>AVERAGE(B19:B22)*N6</f>
        <v>100.4982837528604</v>
      </c>
      <c r="D20" s="46">
        <f t="shared" si="0"/>
        <v>1.4982837528604023</v>
      </c>
      <c r="E20" s="184"/>
    </row>
    <row r="21" spans="1:16" x14ac:dyDescent="0.25">
      <c r="A21" s="8">
        <v>19</v>
      </c>
      <c r="B21" s="67">
        <v>89</v>
      </c>
      <c r="C21" s="47">
        <f>AVERAGE(B19:B22)*N7</f>
        <v>88.807208237986274</v>
      </c>
      <c r="D21" s="46">
        <f t="shared" si="0"/>
        <v>0.1927917620137265</v>
      </c>
      <c r="E21" s="184"/>
    </row>
    <row r="22" spans="1:16" ht="14.4" thickBot="1" x14ac:dyDescent="0.3">
      <c r="A22" s="13">
        <v>20</v>
      </c>
      <c r="B22" s="69">
        <v>77</v>
      </c>
      <c r="C22" s="60">
        <f>AVERAGE(B19:B22)*N8</f>
        <v>74.643020594965677</v>
      </c>
      <c r="D22" s="61">
        <f t="shared" si="0"/>
        <v>2.3569794050343233</v>
      </c>
      <c r="E22" s="186"/>
    </row>
    <row r="23" spans="1:16" ht="14.4" thickBot="1" x14ac:dyDescent="0.3">
      <c r="A23" s="57">
        <v>21</v>
      </c>
      <c r="B23" s="110">
        <f>O5</f>
        <v>129.05148741418765</v>
      </c>
      <c r="C23" s="152" t="s">
        <v>42</v>
      </c>
      <c r="D23" s="154">
        <f>AVERAGE(D3:D22)</f>
        <v>1.149485125858122</v>
      </c>
      <c r="E23" s="74"/>
    </row>
    <row r="24" spans="1:16" ht="14.4" thickBot="1" x14ac:dyDescent="0.3">
      <c r="A24" s="23">
        <v>22</v>
      </c>
      <c r="B24" s="110">
        <f>O6</f>
        <v>100.4982837528604</v>
      </c>
      <c r="C24" s="70"/>
      <c r="D24" s="70"/>
      <c r="E24" s="71"/>
    </row>
    <row r="25" spans="1:16" ht="14.4" thickBot="1" x14ac:dyDescent="0.3">
      <c r="A25" s="23">
        <v>23</v>
      </c>
      <c r="B25" s="110">
        <f>O7</f>
        <v>88.807208237986274</v>
      </c>
      <c r="C25" s="70"/>
      <c r="D25" s="70"/>
      <c r="E25" s="71"/>
    </row>
    <row r="26" spans="1:16" ht="14.4" thickBot="1" x14ac:dyDescent="0.3">
      <c r="A26" s="23">
        <v>24</v>
      </c>
      <c r="B26" s="110">
        <f>O8</f>
        <v>74.643020594965677</v>
      </c>
      <c r="C26" s="70"/>
      <c r="D26" s="70"/>
      <c r="E26" s="71"/>
    </row>
    <row r="27" spans="1:16" ht="14.4" thickBot="1" x14ac:dyDescent="0.3">
      <c r="A27" s="23">
        <v>25</v>
      </c>
      <c r="B27" s="111">
        <f>P5</f>
        <v>129.05148741418765</v>
      </c>
      <c r="C27" s="72"/>
      <c r="D27" s="72"/>
      <c r="E27" s="73"/>
    </row>
  </sheetData>
  <mergeCells count="10">
    <mergeCell ref="G1:P1"/>
    <mergeCell ref="G2:L3"/>
    <mergeCell ref="A1:A2"/>
    <mergeCell ref="B1:B2"/>
    <mergeCell ref="E13:E22"/>
    <mergeCell ref="M2:M4"/>
    <mergeCell ref="N2:P3"/>
    <mergeCell ref="C1:E1"/>
    <mergeCell ref="E3:E12"/>
    <mergeCell ref="N9:P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A6F2-6F28-4C1C-A1D5-893B8DD3A1BC}">
  <dimension ref="A1:P28"/>
  <sheetViews>
    <sheetView workbookViewId="0">
      <selection activeCell="M14" sqref="M14:M23"/>
    </sheetView>
  </sheetViews>
  <sheetFormatPr defaultRowHeight="13.8" x14ac:dyDescent="0.25"/>
  <cols>
    <col min="1" max="1" width="6.33203125" style="1" customWidth="1"/>
    <col min="2" max="2" width="12.21875" style="1" customWidth="1"/>
    <col min="3" max="7" width="9.33203125" style="1" customWidth="1"/>
    <col min="8" max="16384" width="8.88671875" style="1"/>
  </cols>
  <sheetData>
    <row r="1" spans="1:13" ht="15" customHeight="1" thickBot="1" x14ac:dyDescent="0.3">
      <c r="A1" s="248" t="s">
        <v>0</v>
      </c>
      <c r="B1" s="245" t="s">
        <v>23</v>
      </c>
      <c r="C1" s="236" t="s">
        <v>3</v>
      </c>
      <c r="D1" s="237"/>
      <c r="E1" s="237"/>
      <c r="F1" s="237"/>
      <c r="G1" s="237"/>
      <c r="H1" s="238"/>
      <c r="I1" s="187" t="s">
        <v>32</v>
      </c>
      <c r="J1" s="188"/>
      <c r="K1" s="188"/>
      <c r="L1" s="188"/>
      <c r="M1" s="189"/>
    </row>
    <row r="2" spans="1:13" ht="15" customHeight="1" thickBot="1" x14ac:dyDescent="0.3">
      <c r="A2" s="248"/>
      <c r="B2" s="246"/>
      <c r="C2" s="239"/>
      <c r="D2" s="240"/>
      <c r="E2" s="240"/>
      <c r="F2" s="240"/>
      <c r="G2" s="240"/>
      <c r="H2" s="241"/>
      <c r="I2" s="105" t="s">
        <v>34</v>
      </c>
      <c r="J2" s="94" t="s">
        <v>33</v>
      </c>
      <c r="K2" s="194" t="s">
        <v>37</v>
      </c>
      <c r="L2" s="194" t="s">
        <v>6</v>
      </c>
      <c r="M2" s="132"/>
    </row>
    <row r="3" spans="1:13" ht="15" customHeight="1" thickBot="1" x14ac:dyDescent="0.3">
      <c r="A3" s="240"/>
      <c r="B3" s="247"/>
      <c r="C3" s="104" t="s">
        <v>26</v>
      </c>
      <c r="D3" s="28" t="s">
        <v>6</v>
      </c>
      <c r="E3" s="105"/>
      <c r="F3" s="29" t="s">
        <v>7</v>
      </c>
      <c r="G3" s="170" t="s">
        <v>6</v>
      </c>
      <c r="H3" s="120"/>
      <c r="I3" s="105" t="s">
        <v>35</v>
      </c>
      <c r="J3" s="105" t="s">
        <v>36</v>
      </c>
      <c r="K3" s="195"/>
      <c r="L3" s="195"/>
      <c r="M3" s="133"/>
    </row>
    <row r="4" spans="1:13" x14ac:dyDescent="0.25">
      <c r="A4" s="6">
        <v>1</v>
      </c>
      <c r="B4" s="7">
        <v>18</v>
      </c>
      <c r="C4" s="45">
        <v>140</v>
      </c>
      <c r="D4" s="46">
        <f t="shared" ref="D4:D23" si="0">ABS(B4-C4)</f>
        <v>122</v>
      </c>
      <c r="E4" s="183">
        <f>AVERAGE(D4:D13)</f>
        <v>23.503125000000001</v>
      </c>
      <c r="F4" s="48">
        <v>140</v>
      </c>
      <c r="G4" s="49">
        <f t="shared" ref="G4:G23" si="1">ABS(F4-B4)</f>
        <v>122</v>
      </c>
      <c r="H4" s="183">
        <f>AVERAGE(G4:G13)</f>
        <v>69.137107455199995</v>
      </c>
      <c r="I4" s="137">
        <f>B4</f>
        <v>18</v>
      </c>
      <c r="J4" s="138">
        <v>0</v>
      </c>
      <c r="K4" s="138">
        <f>I4+J4</f>
        <v>18</v>
      </c>
      <c r="L4" s="164">
        <f>ABS(K4-B4)</f>
        <v>0</v>
      </c>
      <c r="M4" s="242">
        <f>AVERAGE(L4:L13)</f>
        <v>2.6250261795354186</v>
      </c>
    </row>
    <row r="5" spans="1:13" x14ac:dyDescent="0.25">
      <c r="A5" s="8">
        <v>2</v>
      </c>
      <c r="B5" s="9">
        <v>22</v>
      </c>
      <c r="C5" s="47">
        <f t="shared" ref="C5:C23" si="2">(0.5*B5)+(0.5*C4)</f>
        <v>81</v>
      </c>
      <c r="D5" s="46">
        <f t="shared" si="0"/>
        <v>59</v>
      </c>
      <c r="E5" s="184"/>
      <c r="F5" s="42">
        <f t="shared" ref="F5:F23" si="3">(0.1*B5)+(0.9*F4)</f>
        <v>128.19999999999999</v>
      </c>
      <c r="G5" s="50">
        <f t="shared" si="1"/>
        <v>106.19999999999999</v>
      </c>
      <c r="H5" s="184"/>
      <c r="I5" s="47">
        <f>SUM(0.2*B5,0.8*(I4+J4))</f>
        <v>18.8</v>
      </c>
      <c r="J5" s="92">
        <f>SUM(0.4*(I5-I4),0.6*J4)</f>
        <v>0.32000000000000028</v>
      </c>
      <c r="K5" s="92">
        <f t="shared" ref="K5:K23" si="4">I5+J5</f>
        <v>19.12</v>
      </c>
      <c r="L5" s="165">
        <f t="shared" ref="L5:L23" si="5">ABS(K5-B5)</f>
        <v>2.879999999999999</v>
      </c>
      <c r="M5" s="243"/>
    </row>
    <row r="6" spans="1:13" x14ac:dyDescent="0.25">
      <c r="A6" s="8">
        <v>3</v>
      </c>
      <c r="B6" s="10">
        <v>25</v>
      </c>
      <c r="C6" s="47">
        <f t="shared" si="2"/>
        <v>53</v>
      </c>
      <c r="D6" s="46">
        <f t="shared" si="0"/>
        <v>28</v>
      </c>
      <c r="E6" s="184"/>
      <c r="F6" s="42">
        <f t="shared" si="3"/>
        <v>117.88</v>
      </c>
      <c r="G6" s="50">
        <f t="shared" si="1"/>
        <v>92.88</v>
      </c>
      <c r="H6" s="184"/>
      <c r="I6" s="47">
        <f t="shared" ref="I6:I23" si="6">SUM(0.2*B6,0.8*(I5+J5))</f>
        <v>20.295999999999999</v>
      </c>
      <c r="J6" s="92">
        <f t="shared" ref="J6:J23" si="7">SUM(0.4*(I6-I5),0.6*J5)</f>
        <v>0.79039999999999966</v>
      </c>
      <c r="K6" s="92">
        <f t="shared" si="4"/>
        <v>21.086399999999998</v>
      </c>
      <c r="L6" s="165">
        <f t="shared" si="5"/>
        <v>3.9136000000000024</v>
      </c>
      <c r="M6" s="243"/>
    </row>
    <row r="7" spans="1:13" x14ac:dyDescent="0.25">
      <c r="A7" s="8">
        <v>4</v>
      </c>
      <c r="B7" s="10">
        <v>27</v>
      </c>
      <c r="C7" s="47">
        <f t="shared" si="2"/>
        <v>40</v>
      </c>
      <c r="D7" s="46">
        <f t="shared" si="0"/>
        <v>13</v>
      </c>
      <c r="E7" s="184"/>
      <c r="F7" s="42">
        <f t="shared" si="3"/>
        <v>108.792</v>
      </c>
      <c r="G7" s="50">
        <f t="shared" si="1"/>
        <v>81.792000000000002</v>
      </c>
      <c r="H7" s="184"/>
      <c r="I7" s="47">
        <f t="shared" si="6"/>
        <v>22.269120000000001</v>
      </c>
      <c r="J7" s="92">
        <f t="shared" si="7"/>
        <v>1.2634880000000004</v>
      </c>
      <c r="K7" s="92">
        <f t="shared" si="4"/>
        <v>23.532608</v>
      </c>
      <c r="L7" s="165">
        <f t="shared" si="5"/>
        <v>3.4673920000000003</v>
      </c>
      <c r="M7" s="243"/>
    </row>
    <row r="8" spans="1:13" ht="15" customHeight="1" x14ac:dyDescent="0.25">
      <c r="A8" s="8">
        <v>5</v>
      </c>
      <c r="B8" s="10">
        <v>32</v>
      </c>
      <c r="C8" s="47">
        <f t="shared" si="2"/>
        <v>36</v>
      </c>
      <c r="D8" s="46">
        <f t="shared" si="0"/>
        <v>4</v>
      </c>
      <c r="E8" s="184"/>
      <c r="F8" s="42">
        <f t="shared" si="3"/>
        <v>101.11280000000001</v>
      </c>
      <c r="G8" s="50">
        <f t="shared" si="1"/>
        <v>69.112800000000007</v>
      </c>
      <c r="H8" s="184"/>
      <c r="I8" s="47">
        <f t="shared" si="6"/>
        <v>25.2260864</v>
      </c>
      <c r="J8" s="92">
        <f t="shared" si="7"/>
        <v>1.9408793599999998</v>
      </c>
      <c r="K8" s="92">
        <f t="shared" si="4"/>
        <v>27.16696576</v>
      </c>
      <c r="L8" s="165">
        <f t="shared" si="5"/>
        <v>4.8330342399999999</v>
      </c>
      <c r="M8" s="243"/>
    </row>
    <row r="9" spans="1:13" x14ac:dyDescent="0.25">
      <c r="A9" s="8">
        <v>6</v>
      </c>
      <c r="B9" s="10">
        <v>35</v>
      </c>
      <c r="C9" s="47">
        <f t="shared" si="2"/>
        <v>35.5</v>
      </c>
      <c r="D9" s="46">
        <f t="shared" si="0"/>
        <v>0.5</v>
      </c>
      <c r="E9" s="184"/>
      <c r="F9" s="42">
        <f t="shared" si="3"/>
        <v>94.501520000000014</v>
      </c>
      <c r="G9" s="50">
        <f t="shared" si="1"/>
        <v>59.501520000000014</v>
      </c>
      <c r="H9" s="184"/>
      <c r="I9" s="47">
        <f t="shared" si="6"/>
        <v>28.733572608000003</v>
      </c>
      <c r="J9" s="92">
        <f t="shared" si="7"/>
        <v>2.5675220992000014</v>
      </c>
      <c r="K9" s="92">
        <f t="shared" si="4"/>
        <v>31.301094707200004</v>
      </c>
      <c r="L9" s="165">
        <f t="shared" si="5"/>
        <v>3.6989052927999957</v>
      </c>
      <c r="M9" s="243"/>
    </row>
    <row r="10" spans="1:13" x14ac:dyDescent="0.25">
      <c r="A10" s="8">
        <v>7</v>
      </c>
      <c r="B10" s="10">
        <v>39</v>
      </c>
      <c r="C10" s="47">
        <f t="shared" si="2"/>
        <v>37.25</v>
      </c>
      <c r="D10" s="46">
        <f t="shared" si="0"/>
        <v>1.75</v>
      </c>
      <c r="E10" s="184"/>
      <c r="F10" s="42">
        <f t="shared" si="3"/>
        <v>88.951368000000016</v>
      </c>
      <c r="G10" s="50">
        <f t="shared" si="1"/>
        <v>49.951368000000016</v>
      </c>
      <c r="H10" s="184"/>
      <c r="I10" s="47">
        <f t="shared" si="6"/>
        <v>32.840875765760003</v>
      </c>
      <c r="J10" s="92">
        <f t="shared" si="7"/>
        <v>3.1834345226240011</v>
      </c>
      <c r="K10" s="92">
        <f t="shared" si="4"/>
        <v>36.024310288384001</v>
      </c>
      <c r="L10" s="165">
        <f t="shared" si="5"/>
        <v>2.975689711615999</v>
      </c>
      <c r="M10" s="243"/>
    </row>
    <row r="11" spans="1:13" x14ac:dyDescent="0.25">
      <c r="A11" s="8">
        <v>8</v>
      </c>
      <c r="B11" s="10">
        <v>41</v>
      </c>
      <c r="C11" s="47">
        <f t="shared" si="2"/>
        <v>39.125</v>
      </c>
      <c r="D11" s="46">
        <f t="shared" si="0"/>
        <v>1.875</v>
      </c>
      <c r="E11" s="184"/>
      <c r="F11" s="42">
        <f t="shared" si="3"/>
        <v>84.156231200000008</v>
      </c>
      <c r="G11" s="50">
        <f t="shared" si="1"/>
        <v>43.156231200000008</v>
      </c>
      <c r="H11" s="184"/>
      <c r="I11" s="47">
        <f t="shared" si="6"/>
        <v>37.019448230707205</v>
      </c>
      <c r="J11" s="92">
        <f t="shared" si="7"/>
        <v>3.5814896995532814</v>
      </c>
      <c r="K11" s="92">
        <f t="shared" si="4"/>
        <v>40.600937930260486</v>
      </c>
      <c r="L11" s="165">
        <f t="shared" si="5"/>
        <v>0.39906206973951441</v>
      </c>
      <c r="M11" s="243"/>
    </row>
    <row r="12" spans="1:13" x14ac:dyDescent="0.25">
      <c r="A12" s="8">
        <v>9</v>
      </c>
      <c r="B12" s="10">
        <v>43</v>
      </c>
      <c r="C12" s="47">
        <f t="shared" si="2"/>
        <v>41.0625</v>
      </c>
      <c r="D12" s="46">
        <f t="shared" si="0"/>
        <v>1.9375</v>
      </c>
      <c r="E12" s="184"/>
      <c r="F12" s="42">
        <f t="shared" si="3"/>
        <v>80.040608080000013</v>
      </c>
      <c r="G12" s="50">
        <f t="shared" si="1"/>
        <v>37.040608080000013</v>
      </c>
      <c r="H12" s="184"/>
      <c r="I12" s="47">
        <f t="shared" si="6"/>
        <v>41.08075034420839</v>
      </c>
      <c r="J12" s="92">
        <f t="shared" si="7"/>
        <v>3.7734146651324427</v>
      </c>
      <c r="K12" s="92">
        <f t="shared" si="4"/>
        <v>44.854165009340832</v>
      </c>
      <c r="L12" s="165">
        <f t="shared" si="5"/>
        <v>1.8541650093408322</v>
      </c>
      <c r="M12" s="243"/>
    </row>
    <row r="13" spans="1:13" ht="14.4" thickBot="1" x14ac:dyDescent="0.3">
      <c r="A13" s="140">
        <v>10</v>
      </c>
      <c r="B13" s="77">
        <v>47</v>
      </c>
      <c r="C13" s="134">
        <f t="shared" si="2"/>
        <v>44.03125</v>
      </c>
      <c r="D13" s="144">
        <f t="shared" si="0"/>
        <v>2.96875</v>
      </c>
      <c r="E13" s="185"/>
      <c r="F13" s="44">
        <f t="shared" si="3"/>
        <v>76.73654727200001</v>
      </c>
      <c r="G13" s="51">
        <f t="shared" si="1"/>
        <v>29.73654727200001</v>
      </c>
      <c r="H13" s="185"/>
      <c r="I13" s="60">
        <f t="shared" si="6"/>
        <v>45.283332007472666</v>
      </c>
      <c r="J13" s="93">
        <f t="shared" si="7"/>
        <v>3.9450814643851757</v>
      </c>
      <c r="K13" s="93">
        <f t="shared" si="4"/>
        <v>49.228413471857841</v>
      </c>
      <c r="L13" s="166">
        <f t="shared" si="5"/>
        <v>2.2284134718578414</v>
      </c>
      <c r="M13" s="244"/>
    </row>
    <row r="14" spans="1:13" x14ac:dyDescent="0.25">
      <c r="A14" s="145">
        <v>11</v>
      </c>
      <c r="B14" s="146">
        <v>53</v>
      </c>
      <c r="C14" s="137">
        <f t="shared" si="2"/>
        <v>48.515625</v>
      </c>
      <c r="D14" s="149">
        <f t="shared" si="0"/>
        <v>4.484375</v>
      </c>
      <c r="E14" s="183">
        <f>AVERAGE(D14:D23)</f>
        <v>3.1491241455078125</v>
      </c>
      <c r="F14" s="52">
        <f t="shared" si="3"/>
        <v>74.362892544800005</v>
      </c>
      <c r="G14" s="53">
        <f t="shared" si="1"/>
        <v>21.362892544800005</v>
      </c>
      <c r="H14" s="183">
        <f>AVERAGE(G14:G23)</f>
        <v>8.60715027234267</v>
      </c>
      <c r="I14" s="137">
        <f t="shared" si="6"/>
        <v>49.982730777486275</v>
      </c>
      <c r="J14" s="138">
        <f t="shared" si="7"/>
        <v>4.2468083866365491</v>
      </c>
      <c r="K14" s="138">
        <f t="shared" si="4"/>
        <v>54.229539164122826</v>
      </c>
      <c r="L14" s="164">
        <f t="shared" si="5"/>
        <v>1.2295391641228264</v>
      </c>
      <c r="M14" s="242">
        <f>AVERAGE(L14:L23)</f>
        <v>4.7930258610841072</v>
      </c>
    </row>
    <row r="15" spans="1:13" ht="14.4" customHeight="1" x14ac:dyDescent="0.25">
      <c r="A15" s="8">
        <v>12</v>
      </c>
      <c r="B15" s="10">
        <v>55</v>
      </c>
      <c r="C15" s="47">
        <f t="shared" si="2"/>
        <v>51.7578125</v>
      </c>
      <c r="D15" s="46">
        <f t="shared" si="0"/>
        <v>3.2421875</v>
      </c>
      <c r="E15" s="184"/>
      <c r="F15" s="42">
        <f t="shared" si="3"/>
        <v>72.426603290320003</v>
      </c>
      <c r="G15" s="50">
        <f t="shared" si="1"/>
        <v>17.426603290320003</v>
      </c>
      <c r="H15" s="184"/>
      <c r="I15" s="47">
        <f t="shared" si="6"/>
        <v>54.383631331298261</v>
      </c>
      <c r="J15" s="92">
        <f t="shared" si="7"/>
        <v>4.3084452535067239</v>
      </c>
      <c r="K15" s="92">
        <f t="shared" si="4"/>
        <v>58.692076584804987</v>
      </c>
      <c r="L15" s="165">
        <f t="shared" si="5"/>
        <v>3.6920765848049868</v>
      </c>
      <c r="M15" s="243"/>
    </row>
    <row r="16" spans="1:13" ht="14.4" customHeight="1" x14ac:dyDescent="0.25">
      <c r="A16" s="8">
        <v>13</v>
      </c>
      <c r="B16" s="10">
        <v>58</v>
      </c>
      <c r="C16" s="47">
        <f t="shared" si="2"/>
        <v>54.87890625</v>
      </c>
      <c r="D16" s="46">
        <f t="shared" si="0"/>
        <v>3.12109375</v>
      </c>
      <c r="E16" s="184"/>
      <c r="F16" s="42">
        <f t="shared" si="3"/>
        <v>70.983942961288008</v>
      </c>
      <c r="G16" s="50">
        <f t="shared" si="1"/>
        <v>12.983942961288008</v>
      </c>
      <c r="H16" s="184"/>
      <c r="I16" s="47">
        <f t="shared" si="6"/>
        <v>58.553661267843992</v>
      </c>
      <c r="J16" s="92">
        <f t="shared" si="7"/>
        <v>4.2530791267223265</v>
      </c>
      <c r="K16" s="92">
        <f t="shared" si="4"/>
        <v>62.806740394566319</v>
      </c>
      <c r="L16" s="165">
        <f t="shared" si="5"/>
        <v>4.8067403945663187</v>
      </c>
      <c r="M16" s="243"/>
    </row>
    <row r="17" spans="1:16" ht="14.4" customHeight="1" thickBot="1" x14ac:dyDescent="0.3">
      <c r="A17" s="8">
        <v>14</v>
      </c>
      <c r="B17" s="10">
        <v>60</v>
      </c>
      <c r="C17" s="47">
        <f t="shared" si="2"/>
        <v>57.439453125</v>
      </c>
      <c r="D17" s="46">
        <f t="shared" si="0"/>
        <v>2.560546875</v>
      </c>
      <c r="E17" s="184"/>
      <c r="F17" s="42">
        <f t="shared" si="3"/>
        <v>69.885548665159206</v>
      </c>
      <c r="G17" s="50">
        <f t="shared" si="1"/>
        <v>9.8855486651592059</v>
      </c>
      <c r="H17" s="184"/>
      <c r="I17" s="47">
        <f t="shared" si="6"/>
        <v>62.245392315653056</v>
      </c>
      <c r="J17" s="92">
        <f t="shared" si="7"/>
        <v>4.0285398951570217</v>
      </c>
      <c r="K17" s="92">
        <f t="shared" si="4"/>
        <v>66.273932210810074</v>
      </c>
      <c r="L17" s="165">
        <f t="shared" si="5"/>
        <v>6.2739322108100737</v>
      </c>
      <c r="M17" s="243"/>
    </row>
    <row r="18" spans="1:16" ht="14.4" customHeight="1" thickBot="1" x14ac:dyDescent="0.3">
      <c r="A18" s="8">
        <v>15</v>
      </c>
      <c r="B18" s="10">
        <v>64</v>
      </c>
      <c r="C18" s="47">
        <f t="shared" si="2"/>
        <v>60.7197265625</v>
      </c>
      <c r="D18" s="46">
        <f t="shared" si="0"/>
        <v>3.2802734375</v>
      </c>
      <c r="E18" s="184"/>
      <c r="F18" s="42">
        <f t="shared" si="3"/>
        <v>69.296993798643285</v>
      </c>
      <c r="G18" s="50">
        <f t="shared" si="1"/>
        <v>5.2969937986432853</v>
      </c>
      <c r="H18" s="184"/>
      <c r="I18" s="47">
        <f t="shared" si="6"/>
        <v>65.819145768648056</v>
      </c>
      <c r="J18" s="92">
        <f t="shared" si="7"/>
        <v>3.846625318292213</v>
      </c>
      <c r="K18" s="92">
        <f t="shared" si="4"/>
        <v>69.665771086940268</v>
      </c>
      <c r="L18" s="165">
        <f t="shared" si="5"/>
        <v>5.6657710869402678</v>
      </c>
      <c r="M18" s="243"/>
      <c r="O18" s="175" t="s">
        <v>27</v>
      </c>
      <c r="P18" s="174" t="s">
        <v>28</v>
      </c>
    </row>
    <row r="19" spans="1:16" ht="14.4" customHeight="1" x14ac:dyDescent="0.25">
      <c r="A19" s="8">
        <v>16</v>
      </c>
      <c r="B19" s="10">
        <v>66</v>
      </c>
      <c r="C19" s="47">
        <f t="shared" si="2"/>
        <v>63.35986328125</v>
      </c>
      <c r="D19" s="46">
        <f t="shared" si="0"/>
        <v>2.64013671875</v>
      </c>
      <c r="E19" s="184"/>
      <c r="F19" s="42">
        <f t="shared" si="3"/>
        <v>68.967294418778962</v>
      </c>
      <c r="G19" s="50">
        <f t="shared" si="1"/>
        <v>2.9672944187789625</v>
      </c>
      <c r="H19" s="184"/>
      <c r="I19" s="47">
        <f t="shared" si="6"/>
        <v>68.93261686955222</v>
      </c>
      <c r="J19" s="92">
        <f t="shared" si="7"/>
        <v>3.5533636313369934</v>
      </c>
      <c r="K19" s="92">
        <f t="shared" si="4"/>
        <v>72.485980500889212</v>
      </c>
      <c r="L19" s="165">
        <f t="shared" si="5"/>
        <v>6.4859805008892124</v>
      </c>
      <c r="M19" s="243"/>
      <c r="O19" s="82">
        <v>21</v>
      </c>
      <c r="P19" s="83">
        <f>B24</f>
        <v>82.41785786114059</v>
      </c>
    </row>
    <row r="20" spans="1:16" ht="14.4" customHeight="1" x14ac:dyDescent="0.25">
      <c r="A20" s="8">
        <v>17</v>
      </c>
      <c r="B20" s="10">
        <v>69</v>
      </c>
      <c r="C20" s="47">
        <f t="shared" si="2"/>
        <v>66.179931640625</v>
      </c>
      <c r="D20" s="46">
        <f t="shared" si="0"/>
        <v>2.820068359375</v>
      </c>
      <c r="E20" s="184"/>
      <c r="F20" s="42">
        <f t="shared" si="3"/>
        <v>68.970564976901073</v>
      </c>
      <c r="G20" s="50">
        <f t="shared" si="1"/>
        <v>2.9435023098926649E-2</v>
      </c>
      <c r="H20" s="184"/>
      <c r="I20" s="47">
        <f t="shared" si="6"/>
        <v>71.788784400711378</v>
      </c>
      <c r="J20" s="92">
        <f t="shared" si="7"/>
        <v>3.2744851912658595</v>
      </c>
      <c r="K20" s="92">
        <f t="shared" si="4"/>
        <v>75.063269591977232</v>
      </c>
      <c r="L20" s="165">
        <f t="shared" si="5"/>
        <v>6.0632695919772317</v>
      </c>
      <c r="M20" s="243"/>
      <c r="O20" s="78">
        <v>22</v>
      </c>
      <c r="P20" s="79">
        <f t="shared" ref="P20:P23" si="8">B25</f>
        <v>85.183674187801103</v>
      </c>
    </row>
    <row r="21" spans="1:16" ht="14.4" customHeight="1" x14ac:dyDescent="0.25">
      <c r="A21" s="8">
        <v>18</v>
      </c>
      <c r="B21" s="10">
        <v>72</v>
      </c>
      <c r="C21" s="47">
        <f t="shared" si="2"/>
        <v>69.0899658203125</v>
      </c>
      <c r="D21" s="46">
        <f t="shared" si="0"/>
        <v>2.9100341796875</v>
      </c>
      <c r="E21" s="184"/>
      <c r="F21" s="42">
        <f t="shared" si="3"/>
        <v>69.27350847921096</v>
      </c>
      <c r="G21" s="50">
        <f t="shared" si="1"/>
        <v>2.7264915207890397</v>
      </c>
      <c r="H21" s="184"/>
      <c r="I21" s="47">
        <f t="shared" si="6"/>
        <v>74.450615673581794</v>
      </c>
      <c r="J21" s="92">
        <f t="shared" si="7"/>
        <v>3.0294236239076819</v>
      </c>
      <c r="K21" s="92">
        <f t="shared" si="4"/>
        <v>77.480039297489469</v>
      </c>
      <c r="L21" s="165">
        <f t="shared" si="5"/>
        <v>5.4800392974894692</v>
      </c>
      <c r="M21" s="243"/>
      <c r="O21" s="78">
        <v>23</v>
      </c>
      <c r="P21" s="79">
        <f t="shared" si="8"/>
        <v>87.949490514461615</v>
      </c>
    </row>
    <row r="22" spans="1:16" ht="14.4" customHeight="1" x14ac:dyDescent="0.25">
      <c r="A22" s="8">
        <v>19</v>
      </c>
      <c r="B22" s="10">
        <v>75</v>
      </c>
      <c r="C22" s="47">
        <f t="shared" si="2"/>
        <v>72.04498291015625</v>
      </c>
      <c r="D22" s="46">
        <f t="shared" si="0"/>
        <v>2.95501708984375</v>
      </c>
      <c r="E22" s="184"/>
      <c r="F22" s="42">
        <f t="shared" si="3"/>
        <v>69.846157631289856</v>
      </c>
      <c r="G22" s="50">
        <f t="shared" si="1"/>
        <v>5.1538423687101442</v>
      </c>
      <c r="H22" s="184"/>
      <c r="I22" s="47">
        <f t="shared" si="6"/>
        <v>76.984031437991575</v>
      </c>
      <c r="J22" s="92">
        <f t="shared" si="7"/>
        <v>2.8310204801085215</v>
      </c>
      <c r="K22" s="92">
        <f t="shared" si="4"/>
        <v>79.815051918100096</v>
      </c>
      <c r="L22" s="165">
        <f t="shared" si="5"/>
        <v>4.8150519181000959</v>
      </c>
      <c r="M22" s="243"/>
      <c r="O22" s="78">
        <v>24</v>
      </c>
      <c r="P22" s="79">
        <f t="shared" si="8"/>
        <v>90.715306841122128</v>
      </c>
    </row>
    <row r="23" spans="1:16" ht="15" customHeight="1" thickBot="1" x14ac:dyDescent="0.3">
      <c r="A23" s="13">
        <v>20</v>
      </c>
      <c r="B23" s="14">
        <v>79</v>
      </c>
      <c r="C23" s="60">
        <f t="shared" si="2"/>
        <v>75.522491455078125</v>
      </c>
      <c r="D23" s="61">
        <f t="shared" si="0"/>
        <v>3.477508544921875</v>
      </c>
      <c r="E23" s="186"/>
      <c r="F23" s="54">
        <f t="shared" si="3"/>
        <v>70.761541868160876</v>
      </c>
      <c r="G23" s="55">
        <f t="shared" si="1"/>
        <v>8.2384581318391241</v>
      </c>
      <c r="H23" s="186"/>
      <c r="I23" s="60">
        <f t="shared" si="6"/>
        <v>79.652041534480077</v>
      </c>
      <c r="J23" s="93">
        <f t="shared" si="7"/>
        <v>2.7658163266605138</v>
      </c>
      <c r="K23" s="135">
        <f t="shared" si="4"/>
        <v>82.41785786114059</v>
      </c>
      <c r="L23" s="166">
        <f t="shared" si="5"/>
        <v>3.4178578611405896</v>
      </c>
      <c r="M23" s="244"/>
      <c r="O23" s="80">
        <v>25</v>
      </c>
      <c r="P23" s="81">
        <f t="shared" si="8"/>
        <v>93.481123167782641</v>
      </c>
    </row>
    <row r="24" spans="1:16" ht="14.4" thickBot="1" x14ac:dyDescent="0.3">
      <c r="A24" s="57">
        <v>21</v>
      </c>
      <c r="B24" s="130">
        <f>K24</f>
        <v>82.41785786114059</v>
      </c>
      <c r="D24" s="87" t="s">
        <v>30</v>
      </c>
      <c r="E24" s="173">
        <f>AVERAGE(D6:D23)</f>
        <v>4.7512495252821179</v>
      </c>
      <c r="F24" s="162"/>
      <c r="G24" s="90" t="s">
        <v>30</v>
      </c>
      <c r="H24" s="172">
        <f>AVERAGE(H4:H23)</f>
        <v>38.87212886377133</v>
      </c>
      <c r="K24" s="167">
        <f>$I$23+1*$J$23</f>
        <v>82.41785786114059</v>
      </c>
      <c r="L24" s="152" t="s">
        <v>42</v>
      </c>
      <c r="M24" s="154">
        <f>AVERAGE(M4:M23)</f>
        <v>3.7090260203097629</v>
      </c>
    </row>
    <row r="25" spans="1:16" ht="14.4" thickBot="1" x14ac:dyDescent="0.3">
      <c r="A25" s="23">
        <v>22</v>
      </c>
      <c r="B25" s="130">
        <f t="shared" ref="B25:B28" si="9">K25</f>
        <v>85.183674187801103</v>
      </c>
      <c r="C25" s="70"/>
      <c r="D25" s="70"/>
      <c r="E25" s="70"/>
      <c r="F25" s="162"/>
      <c r="G25" s="15"/>
      <c r="H25" s="15"/>
      <c r="I25" s="15"/>
      <c r="J25" s="15"/>
      <c r="K25" s="168">
        <f>$I$23+2*$J$23</f>
        <v>85.183674187801103</v>
      </c>
      <c r="L25" s="15"/>
      <c r="M25" s="15"/>
    </row>
    <row r="26" spans="1:16" ht="14.4" thickBot="1" x14ac:dyDescent="0.3">
      <c r="A26" s="23">
        <v>23</v>
      </c>
      <c r="B26" s="130">
        <f t="shared" si="9"/>
        <v>87.949490514461615</v>
      </c>
      <c r="C26" s="70"/>
      <c r="D26" s="70"/>
      <c r="E26" s="70"/>
      <c r="F26" s="162"/>
      <c r="K26" s="168">
        <f>$I$23+3*$J$23</f>
        <v>87.949490514461615</v>
      </c>
    </row>
    <row r="27" spans="1:16" ht="14.4" thickBot="1" x14ac:dyDescent="0.3">
      <c r="A27" s="23">
        <v>24</v>
      </c>
      <c r="B27" s="130">
        <f t="shared" si="9"/>
        <v>90.715306841122128</v>
      </c>
      <c r="C27" s="70"/>
      <c r="D27" s="70"/>
      <c r="E27" s="70"/>
      <c r="F27" s="162"/>
      <c r="K27" s="168">
        <f>$I$23+4*$J$23</f>
        <v>90.715306841122128</v>
      </c>
    </row>
    <row r="28" spans="1:16" ht="14.4" thickBot="1" x14ac:dyDescent="0.3">
      <c r="A28" s="23">
        <v>25</v>
      </c>
      <c r="B28" s="130">
        <f t="shared" si="9"/>
        <v>93.481123167782641</v>
      </c>
      <c r="C28" s="70"/>
      <c r="D28" s="70"/>
      <c r="E28" s="70"/>
      <c r="F28" s="162"/>
      <c r="I28" s="163"/>
      <c r="K28" s="169">
        <f>$I$23+5*$J$23</f>
        <v>93.481123167782641</v>
      </c>
    </row>
  </sheetData>
  <mergeCells count="12">
    <mergeCell ref="B1:B3"/>
    <mergeCell ref="A1:A3"/>
    <mergeCell ref="E4:E13"/>
    <mergeCell ref="H4:H13"/>
    <mergeCell ref="E14:E23"/>
    <mergeCell ref="H14:H23"/>
    <mergeCell ref="I1:M1"/>
    <mergeCell ref="C1:H2"/>
    <mergeCell ref="M4:M13"/>
    <mergeCell ref="M14:M23"/>
    <mergeCell ref="K2:K3"/>
    <mergeCell ref="L2:L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2BF4-AB50-4FA8-9AEF-9C887799F8C1}">
  <dimension ref="A1:O27"/>
  <sheetViews>
    <sheetView tabSelected="1" workbookViewId="0">
      <selection activeCell="I27" sqref="I27"/>
    </sheetView>
  </sheetViews>
  <sheetFormatPr defaultRowHeight="13.8" x14ac:dyDescent="0.25"/>
  <cols>
    <col min="1" max="1" width="6.33203125" style="1" customWidth="1"/>
    <col min="2" max="2" width="12.21875" style="1" customWidth="1"/>
    <col min="3" max="6" width="13.44140625" style="1" customWidth="1"/>
    <col min="7" max="11" width="9.33203125" style="1" customWidth="1"/>
    <col min="12" max="16384" width="8.88671875" style="1"/>
  </cols>
  <sheetData>
    <row r="1" spans="1:12" ht="15" customHeight="1" thickBot="1" x14ac:dyDescent="0.3">
      <c r="A1" s="176" t="s">
        <v>0</v>
      </c>
      <c r="B1" s="178" t="s">
        <v>24</v>
      </c>
      <c r="C1" s="180" t="s">
        <v>2</v>
      </c>
      <c r="D1" s="181"/>
      <c r="E1" s="181"/>
      <c r="F1" s="182"/>
      <c r="G1" s="187" t="s">
        <v>3</v>
      </c>
      <c r="H1" s="188"/>
      <c r="I1" s="188"/>
      <c r="J1" s="188"/>
      <c r="K1" s="188"/>
      <c r="L1" s="189"/>
    </row>
    <row r="2" spans="1:12" ht="14.4" thickBot="1" x14ac:dyDescent="0.3">
      <c r="A2" s="177"/>
      <c r="B2" s="179"/>
      <c r="C2" s="24" t="s">
        <v>4</v>
      </c>
      <c r="D2" s="25" t="s">
        <v>6</v>
      </c>
      <c r="E2" s="26" t="s">
        <v>5</v>
      </c>
      <c r="F2" s="25" t="s">
        <v>6</v>
      </c>
      <c r="G2" s="27" t="s">
        <v>43</v>
      </c>
      <c r="H2" s="28" t="s">
        <v>6</v>
      </c>
      <c r="I2" s="64"/>
      <c r="J2" s="29" t="s">
        <v>7</v>
      </c>
      <c r="K2" s="30" t="s">
        <v>6</v>
      </c>
      <c r="L2" s="31"/>
    </row>
    <row r="3" spans="1:12" x14ac:dyDescent="0.25">
      <c r="A3" s="6">
        <v>1</v>
      </c>
      <c r="B3" s="7">
        <v>55</v>
      </c>
      <c r="C3" s="32"/>
      <c r="D3" s="33"/>
      <c r="E3" s="38"/>
      <c r="F3" s="39"/>
      <c r="G3" s="45">
        <v>140</v>
      </c>
      <c r="H3" s="46">
        <f t="shared" ref="H3:H4" si="0">ABS(B3-G3)</f>
        <v>85</v>
      </c>
      <c r="I3" s="183">
        <f>AVERAGE(H3:H12)</f>
        <v>15.075929672199999</v>
      </c>
      <c r="J3" s="48">
        <v>140</v>
      </c>
      <c r="K3" s="49">
        <f t="shared" ref="K3:K4" si="1">ABS(J3-B3)</f>
        <v>85</v>
      </c>
      <c r="L3" s="183">
        <f>AVERAGE(K3:K12)</f>
        <v>57.756442588599995</v>
      </c>
    </row>
    <row r="4" spans="1:12" x14ac:dyDescent="0.25">
      <c r="A4" s="8">
        <v>2</v>
      </c>
      <c r="B4" s="9">
        <v>46</v>
      </c>
      <c r="C4" s="34"/>
      <c r="D4" s="35"/>
      <c r="E4" s="40"/>
      <c r="F4" s="41"/>
      <c r="G4" s="47">
        <f>(0.7*B4)+(0.3*G3)</f>
        <v>74.199999999999989</v>
      </c>
      <c r="H4" s="46">
        <f t="shared" si="0"/>
        <v>28.199999999999989</v>
      </c>
      <c r="I4" s="184"/>
      <c r="J4" s="42">
        <f>(0.1*B4)+(0.9*J3)</f>
        <v>130.6</v>
      </c>
      <c r="K4" s="50">
        <f t="shared" si="1"/>
        <v>84.6</v>
      </c>
      <c r="L4" s="184"/>
    </row>
    <row r="5" spans="1:12" x14ac:dyDescent="0.25">
      <c r="A5" s="8">
        <v>3</v>
      </c>
      <c r="B5" s="10">
        <v>58</v>
      </c>
      <c r="C5" s="36">
        <f>AVERAGE(B3:B4)</f>
        <v>50.5</v>
      </c>
      <c r="D5" s="37">
        <f>ABS(C5-B5)</f>
        <v>7.5</v>
      </c>
      <c r="E5" s="42"/>
      <c r="F5" s="43"/>
      <c r="G5" s="47">
        <f t="shared" ref="G5:G22" si="2">(0.7*B5)+(0.3*G4)</f>
        <v>62.859999999999985</v>
      </c>
      <c r="H5" s="46">
        <f>ABS(B5-G5)</f>
        <v>4.8599999999999852</v>
      </c>
      <c r="I5" s="184"/>
      <c r="J5" s="42">
        <f t="shared" ref="J5:J22" si="3">(0.1*B5)+(0.9*J4)</f>
        <v>123.33999999999999</v>
      </c>
      <c r="K5" s="50">
        <f>ABS(J5-B5)</f>
        <v>65.339999999999989</v>
      </c>
      <c r="L5" s="184"/>
    </row>
    <row r="6" spans="1:12" x14ac:dyDescent="0.25">
      <c r="A6" s="8">
        <v>4</v>
      </c>
      <c r="B6" s="10">
        <v>37</v>
      </c>
      <c r="C6" s="36">
        <f t="shared" ref="C6:C22" si="4">AVERAGE(B4:B5)</f>
        <v>52</v>
      </c>
      <c r="D6" s="37">
        <f t="shared" ref="D6:D22" si="5">ABS(C6-B6)</f>
        <v>15</v>
      </c>
      <c r="E6" s="42"/>
      <c r="F6" s="43"/>
      <c r="G6" s="47">
        <f t="shared" si="2"/>
        <v>44.757999999999996</v>
      </c>
      <c r="H6" s="46">
        <f t="shared" ref="H6:H22" si="6">ABS(B6-G6)</f>
        <v>7.7579999999999956</v>
      </c>
      <c r="I6" s="184"/>
      <c r="J6" s="42">
        <f t="shared" si="3"/>
        <v>114.70599999999999</v>
      </c>
      <c r="K6" s="50">
        <f t="shared" ref="K6:K22" si="7">ABS(J6-B6)</f>
        <v>77.705999999999989</v>
      </c>
      <c r="L6" s="184"/>
    </row>
    <row r="7" spans="1:12" ht="15" customHeight="1" x14ac:dyDescent="0.25">
      <c r="A7" s="8">
        <v>5</v>
      </c>
      <c r="B7" s="10">
        <v>32</v>
      </c>
      <c r="C7" s="36">
        <f t="shared" si="4"/>
        <v>47.5</v>
      </c>
      <c r="D7" s="37">
        <f t="shared" si="5"/>
        <v>15.5</v>
      </c>
      <c r="E7" s="42"/>
      <c r="F7" s="43"/>
      <c r="G7" s="47">
        <f t="shared" si="2"/>
        <v>35.827399999999997</v>
      </c>
      <c r="H7" s="46">
        <f t="shared" si="6"/>
        <v>3.8273999999999972</v>
      </c>
      <c r="I7" s="184"/>
      <c r="J7" s="42">
        <f t="shared" si="3"/>
        <v>106.4354</v>
      </c>
      <c r="K7" s="50">
        <f t="shared" si="7"/>
        <v>74.435400000000001</v>
      </c>
      <c r="L7" s="184"/>
    </row>
    <row r="8" spans="1:12" x14ac:dyDescent="0.25">
      <c r="A8" s="8">
        <v>6</v>
      </c>
      <c r="B8" s="10">
        <v>48</v>
      </c>
      <c r="C8" s="36">
        <f t="shared" si="4"/>
        <v>34.5</v>
      </c>
      <c r="D8" s="37">
        <f t="shared" si="5"/>
        <v>13.5</v>
      </c>
      <c r="E8" s="42">
        <f>AVERAGE(B3:B7)</f>
        <v>45.6</v>
      </c>
      <c r="F8" s="43">
        <f>ABS(B8-E8)</f>
        <v>2.3999999999999986</v>
      </c>
      <c r="G8" s="47">
        <f t="shared" si="2"/>
        <v>44.348219999999991</v>
      </c>
      <c r="H8" s="46">
        <f t="shared" si="6"/>
        <v>3.6517800000000094</v>
      </c>
      <c r="I8" s="184"/>
      <c r="J8" s="42">
        <f t="shared" si="3"/>
        <v>100.59186</v>
      </c>
      <c r="K8" s="50">
        <f t="shared" si="7"/>
        <v>52.591859999999997</v>
      </c>
      <c r="L8" s="184"/>
    </row>
    <row r="9" spans="1:12" x14ac:dyDescent="0.25">
      <c r="A9" s="8">
        <v>7</v>
      </c>
      <c r="B9" s="10">
        <v>67</v>
      </c>
      <c r="C9" s="36">
        <f t="shared" si="4"/>
        <v>40</v>
      </c>
      <c r="D9" s="37">
        <f t="shared" si="5"/>
        <v>27</v>
      </c>
      <c r="E9" s="42">
        <f t="shared" ref="E9:E22" si="8">AVERAGE(B4:B8)</f>
        <v>44.2</v>
      </c>
      <c r="F9" s="43">
        <f t="shared" ref="F9:F22" si="9">ABS(B9-E9)</f>
        <v>22.799999999999997</v>
      </c>
      <c r="G9" s="47">
        <f t="shared" si="2"/>
        <v>60.204465999999996</v>
      </c>
      <c r="H9" s="46">
        <f t="shared" si="6"/>
        <v>6.7955340000000035</v>
      </c>
      <c r="I9" s="184"/>
      <c r="J9" s="42">
        <f t="shared" si="3"/>
        <v>97.232674000000003</v>
      </c>
      <c r="K9" s="50">
        <f t="shared" si="7"/>
        <v>30.232674000000003</v>
      </c>
      <c r="L9" s="184"/>
    </row>
    <row r="10" spans="1:12" x14ac:dyDescent="0.25">
      <c r="A10" s="8">
        <v>8</v>
      </c>
      <c r="B10" s="10">
        <v>68</v>
      </c>
      <c r="C10" s="36">
        <f t="shared" si="4"/>
        <v>57.5</v>
      </c>
      <c r="D10" s="37">
        <f t="shared" si="5"/>
        <v>10.5</v>
      </c>
      <c r="E10" s="42">
        <f t="shared" si="8"/>
        <v>48.4</v>
      </c>
      <c r="F10" s="43">
        <f t="shared" si="9"/>
        <v>19.600000000000001</v>
      </c>
      <c r="G10" s="47">
        <f t="shared" si="2"/>
        <v>65.661339799999993</v>
      </c>
      <c r="H10" s="46">
        <f t="shared" si="6"/>
        <v>2.3386602000000067</v>
      </c>
      <c r="I10" s="184"/>
      <c r="J10" s="42">
        <f t="shared" si="3"/>
        <v>94.309406600000003</v>
      </c>
      <c r="K10" s="50">
        <f t="shared" si="7"/>
        <v>26.309406600000003</v>
      </c>
      <c r="L10" s="184"/>
    </row>
    <row r="11" spans="1:12" x14ac:dyDescent="0.25">
      <c r="A11" s="8">
        <v>9</v>
      </c>
      <c r="B11" s="10">
        <v>52</v>
      </c>
      <c r="C11" s="36">
        <f t="shared" si="4"/>
        <v>67.5</v>
      </c>
      <c r="D11" s="37">
        <f t="shared" si="5"/>
        <v>15.5</v>
      </c>
      <c r="E11" s="42">
        <f t="shared" si="8"/>
        <v>50.4</v>
      </c>
      <c r="F11" s="43">
        <f t="shared" si="9"/>
        <v>1.6000000000000014</v>
      </c>
      <c r="G11" s="47">
        <f t="shared" si="2"/>
        <v>56.098401939999995</v>
      </c>
      <c r="H11" s="46">
        <f t="shared" si="6"/>
        <v>4.0984019399999951</v>
      </c>
      <c r="I11" s="184"/>
      <c r="J11" s="42">
        <f t="shared" si="3"/>
        <v>90.078465940000001</v>
      </c>
      <c r="K11" s="50">
        <f t="shared" si="7"/>
        <v>38.078465940000001</v>
      </c>
      <c r="L11" s="184"/>
    </row>
    <row r="12" spans="1:12" ht="14.4" thickBot="1" x14ac:dyDescent="0.3">
      <c r="A12" s="140">
        <v>10</v>
      </c>
      <c r="B12" s="77">
        <v>42</v>
      </c>
      <c r="C12" s="141">
        <f t="shared" si="4"/>
        <v>60</v>
      </c>
      <c r="D12" s="142">
        <f t="shared" si="5"/>
        <v>18</v>
      </c>
      <c r="E12" s="44">
        <f t="shared" si="8"/>
        <v>53.4</v>
      </c>
      <c r="F12" s="143">
        <f t="shared" si="9"/>
        <v>11.399999999999999</v>
      </c>
      <c r="G12" s="134">
        <f t="shared" si="2"/>
        <v>46.229520581999992</v>
      </c>
      <c r="H12" s="144">
        <f t="shared" si="6"/>
        <v>4.2295205819999921</v>
      </c>
      <c r="I12" s="185"/>
      <c r="J12" s="44">
        <f t="shared" si="3"/>
        <v>85.270619346000004</v>
      </c>
      <c r="K12" s="51">
        <f t="shared" si="7"/>
        <v>43.270619346000004</v>
      </c>
      <c r="L12" s="185"/>
    </row>
    <row r="13" spans="1:12" x14ac:dyDescent="0.25">
      <c r="A13" s="145">
        <v>11</v>
      </c>
      <c r="B13" s="146">
        <v>32</v>
      </c>
      <c r="C13" s="147">
        <f t="shared" si="4"/>
        <v>47</v>
      </c>
      <c r="D13" s="148">
        <f t="shared" si="5"/>
        <v>15</v>
      </c>
      <c r="E13" s="52">
        <f t="shared" si="8"/>
        <v>55.4</v>
      </c>
      <c r="F13" s="131">
        <f t="shared" si="9"/>
        <v>23.4</v>
      </c>
      <c r="G13" s="137">
        <f t="shared" si="2"/>
        <v>36.268856174599996</v>
      </c>
      <c r="H13" s="149">
        <f t="shared" si="6"/>
        <v>4.2688561745999962</v>
      </c>
      <c r="I13" s="183">
        <f>AVERAGE(H13:H22)</f>
        <v>3.0954212379666366</v>
      </c>
      <c r="J13" s="52">
        <f t="shared" si="3"/>
        <v>79.943557411400008</v>
      </c>
      <c r="K13" s="131">
        <f t="shared" si="7"/>
        <v>47.943557411400008</v>
      </c>
      <c r="L13" s="183">
        <f>AVERAGE(K13:K22)</f>
        <v>23.002348147448252</v>
      </c>
    </row>
    <row r="14" spans="1:12" x14ac:dyDescent="0.25">
      <c r="A14" s="8">
        <v>12</v>
      </c>
      <c r="B14" s="10">
        <v>43</v>
      </c>
      <c r="C14" s="36">
        <f t="shared" si="4"/>
        <v>37</v>
      </c>
      <c r="D14" s="37">
        <f t="shared" si="5"/>
        <v>6</v>
      </c>
      <c r="E14" s="42">
        <f t="shared" si="8"/>
        <v>52.2</v>
      </c>
      <c r="F14" s="43">
        <f t="shared" si="9"/>
        <v>9.2000000000000028</v>
      </c>
      <c r="G14" s="47">
        <f t="shared" si="2"/>
        <v>40.980656852379994</v>
      </c>
      <c r="H14" s="46">
        <f t="shared" si="6"/>
        <v>2.0193431476200061</v>
      </c>
      <c r="I14" s="184"/>
      <c r="J14" s="42">
        <f t="shared" si="3"/>
        <v>76.249201670260007</v>
      </c>
      <c r="K14" s="43">
        <f t="shared" si="7"/>
        <v>33.249201670260007</v>
      </c>
      <c r="L14" s="184"/>
    </row>
    <row r="15" spans="1:12" x14ac:dyDescent="0.25">
      <c r="A15" s="8">
        <v>13</v>
      </c>
      <c r="B15" s="10">
        <v>37</v>
      </c>
      <c r="C15" s="36">
        <f t="shared" si="4"/>
        <v>37.5</v>
      </c>
      <c r="D15" s="37">
        <f t="shared" si="5"/>
        <v>0.5</v>
      </c>
      <c r="E15" s="42">
        <f t="shared" si="8"/>
        <v>47.4</v>
      </c>
      <c r="F15" s="43">
        <f t="shared" si="9"/>
        <v>10.399999999999999</v>
      </c>
      <c r="G15" s="47">
        <f t="shared" si="2"/>
        <v>38.194197055714</v>
      </c>
      <c r="H15" s="46">
        <f t="shared" si="6"/>
        <v>1.1941970557139996</v>
      </c>
      <c r="I15" s="184"/>
      <c r="J15" s="42">
        <f t="shared" si="3"/>
        <v>72.324281503234005</v>
      </c>
      <c r="K15" s="43">
        <f t="shared" si="7"/>
        <v>35.324281503234005</v>
      </c>
      <c r="L15" s="184"/>
    </row>
    <row r="16" spans="1:12" x14ac:dyDescent="0.25">
      <c r="A16" s="8">
        <v>14</v>
      </c>
      <c r="B16" s="10">
        <v>61</v>
      </c>
      <c r="C16" s="36">
        <f t="shared" si="4"/>
        <v>40</v>
      </c>
      <c r="D16" s="37">
        <f t="shared" si="5"/>
        <v>21</v>
      </c>
      <c r="E16" s="42">
        <f t="shared" si="8"/>
        <v>41.2</v>
      </c>
      <c r="F16" s="43">
        <f t="shared" si="9"/>
        <v>19.799999999999997</v>
      </c>
      <c r="G16" s="47">
        <f t="shared" si="2"/>
        <v>54.158259116714191</v>
      </c>
      <c r="H16" s="46">
        <f t="shared" si="6"/>
        <v>6.8417408832858086</v>
      </c>
      <c r="I16" s="184"/>
      <c r="J16" s="42">
        <f t="shared" si="3"/>
        <v>71.191853352910599</v>
      </c>
      <c r="K16" s="43">
        <f>ABS(J16-B16)</f>
        <v>10.191853352910599</v>
      </c>
      <c r="L16" s="184"/>
    </row>
    <row r="17" spans="1:15" ht="14.4" thickBot="1" x14ac:dyDescent="0.3">
      <c r="A17" s="8">
        <v>15</v>
      </c>
      <c r="B17" s="10">
        <v>45</v>
      </c>
      <c r="C17" s="36">
        <f t="shared" si="4"/>
        <v>49</v>
      </c>
      <c r="D17" s="37">
        <f t="shared" si="5"/>
        <v>4</v>
      </c>
      <c r="E17" s="42">
        <f t="shared" si="8"/>
        <v>43</v>
      </c>
      <c r="F17" s="43">
        <f t="shared" si="9"/>
        <v>2</v>
      </c>
      <c r="G17" s="47">
        <f t="shared" si="2"/>
        <v>47.747477735014257</v>
      </c>
      <c r="H17" s="46">
        <f t="shared" si="6"/>
        <v>2.7474777350142574</v>
      </c>
      <c r="I17" s="184"/>
      <c r="J17" s="42">
        <f t="shared" si="3"/>
        <v>68.572668017619534</v>
      </c>
      <c r="K17" s="43">
        <f t="shared" si="7"/>
        <v>23.572668017619534</v>
      </c>
      <c r="L17" s="184"/>
    </row>
    <row r="18" spans="1:15" ht="14.4" thickBot="1" x14ac:dyDescent="0.3">
      <c r="A18" s="8">
        <v>16</v>
      </c>
      <c r="B18" s="10">
        <v>48</v>
      </c>
      <c r="C18" s="36">
        <f t="shared" si="4"/>
        <v>53</v>
      </c>
      <c r="D18" s="37">
        <f t="shared" si="5"/>
        <v>5</v>
      </c>
      <c r="E18" s="42">
        <f t="shared" si="8"/>
        <v>43.6</v>
      </c>
      <c r="F18" s="43">
        <f t="shared" si="9"/>
        <v>4.3999999999999986</v>
      </c>
      <c r="G18" s="47">
        <f t="shared" si="2"/>
        <v>47.924243320504274</v>
      </c>
      <c r="H18" s="46">
        <f t="shared" si="6"/>
        <v>7.5756679495725621E-2</v>
      </c>
      <c r="I18" s="184"/>
      <c r="J18" s="42">
        <f t="shared" si="3"/>
        <v>66.51540121585758</v>
      </c>
      <c r="K18" s="43">
        <f t="shared" si="7"/>
        <v>18.51540121585758</v>
      </c>
      <c r="L18" s="184"/>
      <c r="N18" s="175" t="s">
        <v>27</v>
      </c>
      <c r="O18" s="174" t="s">
        <v>28</v>
      </c>
    </row>
    <row r="19" spans="1:15" x14ac:dyDescent="0.25">
      <c r="A19" s="8">
        <v>17</v>
      </c>
      <c r="B19" s="10">
        <v>53</v>
      </c>
      <c r="C19" s="36">
        <f t="shared" si="4"/>
        <v>46.5</v>
      </c>
      <c r="D19" s="37">
        <f t="shared" si="5"/>
        <v>6.5</v>
      </c>
      <c r="E19" s="42">
        <f t="shared" si="8"/>
        <v>46.8</v>
      </c>
      <c r="F19" s="43">
        <f t="shared" si="9"/>
        <v>6.2000000000000028</v>
      </c>
      <c r="G19" s="47">
        <f t="shared" si="2"/>
        <v>51.477272996151278</v>
      </c>
      <c r="H19" s="46">
        <f t="shared" si="6"/>
        <v>1.5227270038487219</v>
      </c>
      <c r="I19" s="184"/>
      <c r="J19" s="42">
        <f t="shared" si="3"/>
        <v>65.163861094271823</v>
      </c>
      <c r="K19" s="43">
        <f t="shared" si="7"/>
        <v>12.163861094271823</v>
      </c>
      <c r="L19" s="184"/>
      <c r="N19" s="82">
        <v>21</v>
      </c>
      <c r="O19" s="83">
        <f>G23</f>
        <v>43.378497733806476</v>
      </c>
    </row>
    <row r="20" spans="1:15" x14ac:dyDescent="0.25">
      <c r="A20" s="8">
        <v>18</v>
      </c>
      <c r="B20" s="10">
        <v>38</v>
      </c>
      <c r="C20" s="36">
        <f t="shared" si="4"/>
        <v>50.5</v>
      </c>
      <c r="D20" s="37">
        <f t="shared" si="5"/>
        <v>12.5</v>
      </c>
      <c r="E20" s="42">
        <f t="shared" si="8"/>
        <v>48.8</v>
      </c>
      <c r="F20" s="43">
        <f t="shared" si="9"/>
        <v>10.799999999999997</v>
      </c>
      <c r="G20" s="47">
        <f t="shared" si="2"/>
        <v>42.043181898845383</v>
      </c>
      <c r="H20" s="46">
        <f t="shared" si="6"/>
        <v>4.0431818988453827</v>
      </c>
      <c r="I20" s="184"/>
      <c r="J20" s="42">
        <f t="shared" si="3"/>
        <v>62.447474984844639</v>
      </c>
      <c r="K20" s="43">
        <f t="shared" si="7"/>
        <v>24.447474984844639</v>
      </c>
      <c r="L20" s="184"/>
      <c r="N20" s="78">
        <v>22</v>
      </c>
      <c r="O20" s="79">
        <f>G24</f>
        <v>43.040647960425829</v>
      </c>
    </row>
    <row r="21" spans="1:15" x14ac:dyDescent="0.25">
      <c r="A21" s="8">
        <v>19</v>
      </c>
      <c r="B21" s="10">
        <v>57</v>
      </c>
      <c r="C21" s="36">
        <f t="shared" si="4"/>
        <v>45.5</v>
      </c>
      <c r="D21" s="37">
        <f t="shared" si="5"/>
        <v>11.5</v>
      </c>
      <c r="E21" s="42">
        <f t="shared" si="8"/>
        <v>49</v>
      </c>
      <c r="F21" s="43">
        <f t="shared" si="9"/>
        <v>8</v>
      </c>
      <c r="G21" s="47">
        <f t="shared" si="2"/>
        <v>52.512954569653616</v>
      </c>
      <c r="H21" s="46">
        <f t="shared" si="6"/>
        <v>4.4870454303463845</v>
      </c>
      <c r="I21" s="184"/>
      <c r="J21" s="42">
        <f t="shared" si="3"/>
        <v>61.902727486360178</v>
      </c>
      <c r="K21" s="43">
        <f t="shared" si="7"/>
        <v>4.9027274863601775</v>
      </c>
      <c r="L21" s="184"/>
      <c r="N21" s="78">
        <v>23</v>
      </c>
      <c r="O21" s="79">
        <f>G25</f>
        <v>42.736583164383248</v>
      </c>
    </row>
    <row r="22" spans="1:15" ht="14.4" thickBot="1" x14ac:dyDescent="0.3">
      <c r="A22" s="13">
        <v>20</v>
      </c>
      <c r="B22" s="14">
        <v>40</v>
      </c>
      <c r="C22" s="58">
        <f t="shared" si="4"/>
        <v>47.5</v>
      </c>
      <c r="D22" s="59">
        <f t="shared" si="5"/>
        <v>7.5</v>
      </c>
      <c r="E22" s="54">
        <f t="shared" si="8"/>
        <v>48.2</v>
      </c>
      <c r="F22" s="56">
        <f t="shared" si="9"/>
        <v>8.2000000000000028</v>
      </c>
      <c r="G22" s="60">
        <f t="shared" si="2"/>
        <v>43.753886370896083</v>
      </c>
      <c r="H22" s="61">
        <f t="shared" si="6"/>
        <v>3.7538863708960832</v>
      </c>
      <c r="I22" s="186"/>
      <c r="J22" s="54">
        <f t="shared" si="3"/>
        <v>59.712454737724158</v>
      </c>
      <c r="K22" s="56">
        <f t="shared" si="7"/>
        <v>19.712454737724158</v>
      </c>
      <c r="L22" s="186"/>
      <c r="N22" s="78">
        <v>24</v>
      </c>
      <c r="O22" s="79">
        <f>G26</f>
        <v>42.462924847944926</v>
      </c>
    </row>
    <row r="23" spans="1:15" ht="14.4" thickBot="1" x14ac:dyDescent="0.3">
      <c r="A23" s="57">
        <v>21</v>
      </c>
      <c r="B23" s="130">
        <f>G23</f>
        <v>43.378497733806476</v>
      </c>
      <c r="C23" s="87" t="s">
        <v>30</v>
      </c>
      <c r="D23" s="88">
        <f>AVERAGE(D5:D22)</f>
        <v>11.777777777777779</v>
      </c>
      <c r="E23" s="87" t="s">
        <v>30</v>
      </c>
      <c r="F23" s="88">
        <f t="shared" ref="F23" si="10">AVERAGE(F5:F22)</f>
        <v>10.68</v>
      </c>
      <c r="G23" s="160">
        <f>(0.1*B22)+(0.9*G22)</f>
        <v>43.378497733806476</v>
      </c>
      <c r="H23" s="152" t="s">
        <v>42</v>
      </c>
      <c r="I23" s="154">
        <f>AVERAGE(H3:H22)</f>
        <v>9.085675455083317</v>
      </c>
      <c r="K23" s="90" t="s">
        <v>30</v>
      </c>
      <c r="L23" s="89">
        <f>AVERAGE(L3:L22)</f>
        <v>40.37939536802412</v>
      </c>
      <c r="N23" s="80">
        <v>25</v>
      </c>
      <c r="O23" s="81">
        <f>G27</f>
        <v>42.216632363150431</v>
      </c>
    </row>
    <row r="24" spans="1:15" ht="14.4" thickBot="1" x14ac:dyDescent="0.3">
      <c r="A24" s="23">
        <v>22</v>
      </c>
      <c r="B24" s="130">
        <f t="shared" ref="B24:B27" si="11">G24</f>
        <v>43.040647960425829</v>
      </c>
      <c r="C24" s="70"/>
      <c r="D24" s="70"/>
      <c r="E24" s="70"/>
      <c r="F24" s="70"/>
      <c r="G24" s="161">
        <f>(0.1*B$22)+(0.9*G23)</f>
        <v>43.040647960425829</v>
      </c>
      <c r="H24" s="70"/>
      <c r="I24" s="70"/>
      <c r="K24" s="15"/>
      <c r="L24" s="15"/>
    </row>
    <row r="25" spans="1:15" ht="14.4" thickBot="1" x14ac:dyDescent="0.3">
      <c r="A25" s="23">
        <v>23</v>
      </c>
      <c r="B25" s="130">
        <f t="shared" si="11"/>
        <v>42.736583164383248</v>
      </c>
      <c r="C25" s="70"/>
      <c r="D25" s="70"/>
      <c r="E25" s="70"/>
      <c r="F25" s="70"/>
      <c r="G25" s="161">
        <f>(0.1*B$22)+(0.9*G24)</f>
        <v>42.736583164383248</v>
      </c>
      <c r="H25" s="70"/>
      <c r="I25" s="70"/>
    </row>
    <row r="26" spans="1:15" ht="14.4" thickBot="1" x14ac:dyDescent="0.3">
      <c r="A26" s="23">
        <v>24</v>
      </c>
      <c r="B26" s="130">
        <f t="shared" si="11"/>
        <v>42.462924847944926</v>
      </c>
      <c r="C26" s="70"/>
      <c r="D26" s="70"/>
      <c r="E26" s="70"/>
      <c r="F26" s="70"/>
      <c r="G26" s="161">
        <f>(0.1*B$22)+(0.9*G25)</f>
        <v>42.462924847944926</v>
      </c>
      <c r="H26" s="70"/>
      <c r="I26" s="70"/>
    </row>
    <row r="27" spans="1:15" ht="14.4" thickBot="1" x14ac:dyDescent="0.3">
      <c r="A27" s="76">
        <v>25</v>
      </c>
      <c r="B27" s="130">
        <f t="shared" si="11"/>
        <v>42.216632363150431</v>
      </c>
      <c r="C27" s="70"/>
      <c r="D27" s="70"/>
      <c r="E27" s="70"/>
      <c r="F27" s="70"/>
      <c r="G27" s="160">
        <f>(0.1*B$22)+(0.9*G26)</f>
        <v>42.216632363150431</v>
      </c>
      <c r="H27" s="70"/>
      <c r="I27" s="70"/>
    </row>
  </sheetData>
  <mergeCells count="8">
    <mergeCell ref="I13:I22"/>
    <mergeCell ref="L13:L22"/>
    <mergeCell ref="A1:A2"/>
    <mergeCell ref="B1:B2"/>
    <mergeCell ref="C1:F1"/>
    <mergeCell ref="G1:L1"/>
    <mergeCell ref="I3:I12"/>
    <mergeCell ref="L3:L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1</vt:lpstr>
      <vt:lpstr>Product 2</vt:lpstr>
      <vt:lpstr>Product 3</vt:lpstr>
      <vt:lpstr>Product 4</vt:lpstr>
      <vt:lpstr>Product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Nayak</dc:creator>
  <cp:lastModifiedBy>Aditya Nayak</cp:lastModifiedBy>
  <dcterms:created xsi:type="dcterms:W3CDTF">2024-04-30T19:38:05Z</dcterms:created>
  <dcterms:modified xsi:type="dcterms:W3CDTF">2024-05-02T04:13:06Z</dcterms:modified>
</cp:coreProperties>
</file>